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ayank\FY 25-26\Flexi Cap Category\Monthly Format\"/>
    </mc:Choice>
  </mc:AlternateContent>
  <xr:revisionPtr revIDLastSave="0" documentId="13_ncr:1_{F533813C-6240-4C33-B78B-2367DE7348C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c'2025" sheetId="1" r:id="rId1"/>
    <sheet name="Jan'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2" l="1"/>
  <c r="J75" i="2"/>
  <c r="J74" i="2"/>
  <c r="J73" i="2"/>
  <c r="J72" i="2"/>
  <c r="J71" i="2"/>
  <c r="J70" i="2"/>
  <c r="J69" i="2"/>
  <c r="J68" i="2"/>
  <c r="J67" i="2"/>
  <c r="C76" i="2"/>
  <c r="C75" i="2"/>
  <c r="C74" i="2"/>
  <c r="C73" i="2"/>
  <c r="C72" i="2"/>
  <c r="C71" i="2"/>
  <c r="C70" i="2"/>
  <c r="C69" i="2"/>
  <c r="C68" i="2"/>
  <c r="C67" i="2"/>
  <c r="J63" i="2"/>
  <c r="J62" i="2"/>
  <c r="J61" i="2"/>
  <c r="C63" i="2"/>
  <c r="C62" i="2"/>
  <c r="C61" i="2"/>
  <c r="B18" i="2"/>
  <c r="B38" i="2" l="1"/>
  <c r="B33" i="2"/>
  <c r="B30" i="2"/>
  <c r="B21" i="2"/>
  <c r="C84" i="2"/>
  <c r="A81" i="2"/>
  <c r="C81" i="2" s="1"/>
  <c r="K76" i="2"/>
  <c r="D76" i="2"/>
  <c r="K75" i="2"/>
  <c r="D75" i="2"/>
  <c r="K74" i="2"/>
  <c r="D74" i="2"/>
  <c r="K73" i="2"/>
  <c r="D73" i="2"/>
  <c r="K72" i="2"/>
  <c r="D72" i="2"/>
  <c r="K71" i="2"/>
  <c r="D71" i="2"/>
  <c r="K70" i="2"/>
  <c r="D70" i="2"/>
  <c r="K69" i="2"/>
  <c r="D69" i="2"/>
  <c r="K68" i="2"/>
  <c r="D68" i="2"/>
  <c r="K67" i="2"/>
  <c r="D67" i="2"/>
  <c r="K63" i="2"/>
  <c r="D63" i="2"/>
  <c r="K62" i="2"/>
  <c r="D62" i="2"/>
  <c r="K61" i="2"/>
  <c r="D61" i="2"/>
  <c r="B36" i="2"/>
  <c r="F11" i="2"/>
  <c r="D11" i="2"/>
  <c r="F10" i="2"/>
  <c r="D10" i="2"/>
  <c r="F9" i="2"/>
  <c r="D9" i="2"/>
  <c r="F8" i="2"/>
  <c r="D8" i="2"/>
  <c r="F7" i="2"/>
  <c r="D7" i="2"/>
  <c r="B36" i="1"/>
  <c r="C84" i="1"/>
  <c r="C81" i="1"/>
  <c r="A81" i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K63" i="1"/>
  <c r="K62" i="1"/>
  <c r="K61" i="1"/>
  <c r="D63" i="1"/>
  <c r="D62" i="1"/>
  <c r="D61" i="1"/>
  <c r="F7" i="1" l="1"/>
  <c r="D7" i="1"/>
  <c r="D8" i="1"/>
  <c r="F11" i="1"/>
  <c r="F10" i="1"/>
  <c r="F9" i="1"/>
  <c r="D11" i="1"/>
  <c r="D10" i="1"/>
  <c r="D9" i="1"/>
  <c r="F8" i="1"/>
  <c r="B18" i="1" l="1"/>
</calcChain>
</file>

<file path=xl/sharedStrings.xml><?xml version="1.0" encoding="utf-8"?>
<sst xmlns="http://schemas.openxmlformats.org/spreadsheetml/2006/main" count="243" uniqueCount="112">
  <si>
    <t>Month</t>
  </si>
  <si>
    <t>Fund Name</t>
  </si>
  <si>
    <t>Fund's Performance</t>
  </si>
  <si>
    <t>Period</t>
  </si>
  <si>
    <t>FY till Date</t>
  </si>
  <si>
    <t>6 months</t>
  </si>
  <si>
    <t xml:space="preserve">3 Months </t>
  </si>
  <si>
    <t>1 Month</t>
  </si>
  <si>
    <t xml:space="preserve">Nifty </t>
  </si>
  <si>
    <t>Excess Return Over Nifty</t>
  </si>
  <si>
    <t xml:space="preserve">Benchmark Return </t>
  </si>
  <si>
    <t>Excess Return-Benchmark</t>
  </si>
  <si>
    <t xml:space="preserve">Category Average </t>
  </si>
  <si>
    <t>Category Rank</t>
  </si>
  <si>
    <t>Entry Stocks</t>
  </si>
  <si>
    <t xml:space="preserve">Weight in the portfolio </t>
  </si>
  <si>
    <t>Sector</t>
  </si>
  <si>
    <t xml:space="preserve">Exit Stocks </t>
  </si>
  <si>
    <t>Entry and Exits -For the Month</t>
  </si>
  <si>
    <t>Ranking Particulars - For the Month</t>
  </si>
  <si>
    <t>Holiday NAV</t>
  </si>
  <si>
    <t>Target Nav</t>
  </si>
  <si>
    <t>Nifty Target NAV</t>
  </si>
  <si>
    <t>Differential</t>
  </si>
  <si>
    <t xml:space="preserve">Active Weight </t>
  </si>
  <si>
    <t xml:space="preserve">Attribution report </t>
  </si>
  <si>
    <t>Large Cap</t>
  </si>
  <si>
    <t>Mid Cap</t>
  </si>
  <si>
    <t>Small Cap</t>
  </si>
  <si>
    <t>Others</t>
  </si>
  <si>
    <t>Cash</t>
  </si>
  <si>
    <t>Allocation %</t>
  </si>
  <si>
    <t>Total No of Stocks</t>
  </si>
  <si>
    <t>Top 10 Stocks By Active Weight</t>
  </si>
  <si>
    <t>Stock Name</t>
  </si>
  <si>
    <t>Weight in Portfolio</t>
  </si>
  <si>
    <t>Weight in Benchmark</t>
  </si>
  <si>
    <t>Difference</t>
  </si>
  <si>
    <t>Sectoral Calls</t>
  </si>
  <si>
    <t xml:space="preserve">Top 3 contributing sectors </t>
  </si>
  <si>
    <t xml:space="preserve">Weight in Portfolio </t>
  </si>
  <si>
    <t>Overweight/underweight</t>
  </si>
  <si>
    <t>Contribution</t>
  </si>
  <si>
    <t xml:space="preserve">Top 3 Detracting  sectors </t>
  </si>
  <si>
    <t>Top 10 Detracting  stocks</t>
  </si>
  <si>
    <t>Top 10 contributing stocks</t>
  </si>
  <si>
    <t>Change in No of Shares (Last Month)</t>
  </si>
  <si>
    <t>Flows - In Crs</t>
  </si>
  <si>
    <t>AR Ownership</t>
  </si>
  <si>
    <t>Scheme AUM</t>
  </si>
  <si>
    <t>AR AUM</t>
  </si>
  <si>
    <t>Ownership %</t>
  </si>
  <si>
    <t>AMC AUM</t>
  </si>
  <si>
    <t>Expense Ratio</t>
  </si>
  <si>
    <t>Portfolio  Details</t>
  </si>
  <si>
    <t>Market Cap</t>
  </si>
  <si>
    <t>Fund Manager</t>
  </si>
  <si>
    <t>HDFC Flexi</t>
  </si>
  <si>
    <t>AUM-Dec-25</t>
  </si>
  <si>
    <t>Total</t>
  </si>
  <si>
    <t>Eternal Ltd.</t>
  </si>
  <si>
    <t>Consumer Cyclical</t>
  </si>
  <si>
    <t>-</t>
  </si>
  <si>
    <t>HDFC Bank Ltd.</t>
  </si>
  <si>
    <t>Axis Bank Ltd.</t>
  </si>
  <si>
    <t>SBI Life Insurance Company Ltd.</t>
  </si>
  <si>
    <t>Cipla Ltd.</t>
  </si>
  <si>
    <t>Reliance Industries Ltd.</t>
  </si>
  <si>
    <t>ITC Ltd.</t>
  </si>
  <si>
    <t>Larsen &amp; Toubro Ltd.</t>
  </si>
  <si>
    <t>Infosys Ltd.</t>
  </si>
  <si>
    <t>Mahindra &amp; Mahindra Ltd.</t>
  </si>
  <si>
    <t>Bharti Airtel Ltd.</t>
  </si>
  <si>
    <t>Maruti Suzuki India Ltd</t>
  </si>
  <si>
    <t>Kotak Mahindra Bank Ltd</t>
  </si>
  <si>
    <t>SBI Life Insurance Co Ltd</t>
  </si>
  <si>
    <t>Tata Steel Ltd</t>
  </si>
  <si>
    <t>Eicher Motors Ltd</t>
  </si>
  <si>
    <t>Bajaj Auto Ltd</t>
  </si>
  <si>
    <t>Infosys Ltd</t>
  </si>
  <si>
    <t>Hindalco Industries Ltd</t>
  </si>
  <si>
    <t>Ashok Leyland Ltd</t>
  </si>
  <si>
    <t>Bank of Baroda</t>
  </si>
  <si>
    <t>Basic Materials</t>
  </si>
  <si>
    <t>Technology</t>
  </si>
  <si>
    <t>Healthcare</t>
  </si>
  <si>
    <t>Financial Services</t>
  </si>
  <si>
    <t>Industrials</t>
  </si>
  <si>
    <t>Chirag Setalvad</t>
  </si>
  <si>
    <t>ICICI Bank Ltd</t>
  </si>
  <si>
    <t>InterGlobe Aviation Ltd</t>
  </si>
  <si>
    <t>Piramal Pharma Ltd</t>
  </si>
  <si>
    <t>HDFC Bank Ltd</t>
  </si>
  <si>
    <t>Nexus Select Trust Reits</t>
  </si>
  <si>
    <t>Varroc Engineering Ltd Ordinary Shares</t>
  </si>
  <si>
    <t>Axis Bank Ltd</t>
  </si>
  <si>
    <t>Power Grid Corp Of India Ltd</t>
  </si>
  <si>
    <t>Cipla Ltd</t>
  </si>
  <si>
    <t>Hyundai Motor India Ltd</t>
  </si>
  <si>
    <t>Since Inception (From time when it's part of MP) (01/01/2021)</t>
  </si>
  <si>
    <t>AUM-Jan-26</t>
  </si>
  <si>
    <t>Energy</t>
  </si>
  <si>
    <t>State Bank of India</t>
  </si>
  <si>
    <t>Oil &amp; Natural Gas Corp Ltd</t>
  </si>
  <si>
    <t>HCL Technologies Ltd</t>
  </si>
  <si>
    <t>JSW Steel Ltd</t>
  </si>
  <si>
    <t>Bharti Airtel Ltd</t>
  </si>
  <si>
    <t>Sapphire Foods India Ltd</t>
  </si>
  <si>
    <t>FSN E-Commerce Ventures Ltd</t>
  </si>
  <si>
    <t>Tata Consultancy Services Ltd.</t>
  </si>
  <si>
    <t>Zee Entertainment Enterprises Ltd.</t>
  </si>
  <si>
    <t>Communication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</si>
</sst>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17" fontId="0" fillId="2" borderId="1" xfId="0" applyNumberFormat="1" applyFill="1" applyBorder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" fontId="3" fillId="0" borderId="0" xfId="0" applyNumberFormat="1" applyFont="1"/>
    <xf numFmtId="0" fontId="0" fillId="0" borderId="2" xfId="0" applyBorder="1" applyAlignment="1">
      <alignment wrapText="1"/>
    </xf>
    <xf numFmtId="0" fontId="0" fillId="0" borderId="2" xfId="0" applyBorder="1"/>
    <xf numFmtId="0" fontId="1" fillId="0" borderId="3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yank\FY%2025-26\Flexi%20Cap%20Category\Monthly%20Format\Jan'26\hdfc%20flexi%20attribution.xlsx" TargetMode="External"/><Relationship Id="rId1" Type="http://schemas.openxmlformats.org/officeDocument/2006/relationships/externalLinkPath" Target="Jan'26/hdfc%20flexi%20at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Highlights"/>
      <sheetName val="Attribution"/>
      <sheetName val="Highest Lowest"/>
      <sheetName val="Portfolio Statistics"/>
      <sheetName val="Trailing Performance"/>
      <sheetName val="Valuation by Data Point"/>
      <sheetName val="Weights"/>
      <sheetName val="Holdings"/>
      <sheetName val="Attribution Holdings Data"/>
      <sheetName val="Excluded Equities"/>
      <sheetName val="Missing Performance"/>
    </sheetNames>
    <sheetDataSet>
      <sheetData sheetId="0" refreshError="1"/>
      <sheetData sheetId="1">
        <row r="10">
          <cell r="A10" t="str">
            <v>Basic Materials</v>
          </cell>
          <cell r="B10">
            <v>5.2521000000000004</v>
          </cell>
          <cell r="C10">
            <v>8.2785100000000007</v>
          </cell>
          <cell r="D10">
            <v>6.0501329999999998</v>
          </cell>
          <cell r="E10">
            <v>8.2813929999999996</v>
          </cell>
        </row>
        <row r="11">
          <cell r="A11" t="str">
            <v>Communication Services</v>
          </cell>
          <cell r="B11">
            <v>2.4668600000000001</v>
          </cell>
          <cell r="C11">
            <v>4.0080999999999998</v>
          </cell>
          <cell r="D11">
            <v>2.841688</v>
          </cell>
          <cell r="E11">
            <v>4.0094960000000004</v>
          </cell>
        </row>
        <row r="12">
          <cell r="A12" t="str">
            <v>Consumer Cyclical</v>
          </cell>
          <cell r="B12">
            <v>15.218719999999999</v>
          </cell>
          <cell r="C12">
            <v>11.526899999999999</v>
          </cell>
          <cell r="D12">
            <v>17.531137000000001</v>
          </cell>
          <cell r="E12">
            <v>11.530913999999999</v>
          </cell>
        </row>
        <row r="13">
          <cell r="A13" t="str">
            <v>Consumer Defensive</v>
          </cell>
          <cell r="B13">
            <v>0.85982000000000003</v>
          </cell>
          <cell r="C13">
            <v>6.4352</v>
          </cell>
          <cell r="D13">
            <v>0.99046599999999996</v>
          </cell>
          <cell r="E13">
            <v>6.4374409999999997</v>
          </cell>
        </row>
        <row r="14">
          <cell r="A14" t="str">
            <v>Energy</v>
          </cell>
          <cell r="B14">
            <v>1.37296</v>
          </cell>
          <cell r="C14">
            <v>7.7878699999999998</v>
          </cell>
          <cell r="D14">
            <v>1.581575</v>
          </cell>
          <cell r="E14">
            <v>7.7905819999999997</v>
          </cell>
        </row>
        <row r="15">
          <cell r="A15" t="str">
            <v>Financial Services</v>
          </cell>
          <cell r="B15">
            <v>38.956670000000003</v>
          </cell>
          <cell r="C15">
            <v>31.15662</v>
          </cell>
          <cell r="D15">
            <v>44.875962000000001</v>
          </cell>
          <cell r="E15">
            <v>31.167469000000001</v>
          </cell>
        </row>
        <row r="16">
          <cell r="A16" t="str">
            <v>Healthcare</v>
          </cell>
          <cell r="B16">
            <v>7.4617699999999996</v>
          </cell>
          <cell r="C16">
            <v>6.3078000000000003</v>
          </cell>
          <cell r="D16">
            <v>8.5955530000000007</v>
          </cell>
          <cell r="E16">
            <v>6.3099970000000001</v>
          </cell>
        </row>
        <row r="17">
          <cell r="A17" t="str">
            <v>Industrials</v>
          </cell>
          <cell r="B17">
            <v>4.7603600000000004</v>
          </cell>
          <cell r="C17">
            <v>10.58977</v>
          </cell>
          <cell r="D17">
            <v>5.4836749999999999</v>
          </cell>
          <cell r="E17">
            <v>10.593458</v>
          </cell>
        </row>
        <row r="18">
          <cell r="A18" t="str">
            <v>Real Estate</v>
          </cell>
          <cell r="B18">
            <v>2.35589</v>
          </cell>
          <cell r="C18">
            <v>1.13565</v>
          </cell>
          <cell r="D18">
            <v>2.713857</v>
          </cell>
          <cell r="E18">
            <v>1.136045</v>
          </cell>
        </row>
        <row r="19">
          <cell r="A19" t="str">
            <v>Technology</v>
          </cell>
          <cell r="B19">
            <v>5.6040099999999997</v>
          </cell>
          <cell r="C19">
            <v>9.1660400000000006</v>
          </cell>
          <cell r="D19">
            <v>6.455514</v>
          </cell>
          <cell r="E19">
            <v>9.1692319999999992</v>
          </cell>
        </row>
        <row r="20">
          <cell r="A20" t="str">
            <v>Utilities</v>
          </cell>
          <cell r="B20">
            <v>2.5005000000000002</v>
          </cell>
          <cell r="C20">
            <v>3.57273</v>
          </cell>
          <cell r="D20">
            <v>2.8804400000000001</v>
          </cell>
          <cell r="E20">
            <v>3.5739740000000002</v>
          </cell>
        </row>
      </sheetData>
      <sheetData sheetId="2">
        <row r="11">
          <cell r="C11">
            <v>5.2521000000000004</v>
          </cell>
          <cell r="D11">
            <v>8.2785100000000007</v>
          </cell>
          <cell r="E11">
            <v>-3.0264099999999998</v>
          </cell>
          <cell r="F11">
            <v>6.0501329999999998</v>
          </cell>
          <cell r="G11">
            <v>8.2813929999999996</v>
          </cell>
        </row>
        <row r="12">
          <cell r="B12" t="str">
            <v>Aarti Industries Ltd</v>
          </cell>
          <cell r="C12">
            <v>0</v>
          </cell>
          <cell r="D12">
            <v>3.8210000000000001E-2</v>
          </cell>
          <cell r="E12">
            <v>-3.8210000000000001E-2</v>
          </cell>
          <cell r="F12">
            <v>0</v>
          </cell>
          <cell r="G12">
            <v>3.8223E-2</v>
          </cell>
        </row>
        <row r="13">
          <cell r="B13" t="str">
            <v>ACC Ltd</v>
          </cell>
          <cell r="C13">
            <v>0</v>
          </cell>
          <cell r="D13">
            <v>5.2769999999999997E-2</v>
          </cell>
          <cell r="E13">
            <v>-5.2769999999999997E-2</v>
          </cell>
          <cell r="F13">
            <v>0</v>
          </cell>
          <cell r="G13">
            <v>5.2788000000000002E-2</v>
          </cell>
        </row>
        <row r="14">
          <cell r="B14" t="str">
            <v>Akzo Nobel India Ltd</v>
          </cell>
          <cell r="C14">
            <v>0</v>
          </cell>
          <cell r="D14">
            <v>2.1180000000000001E-2</v>
          </cell>
          <cell r="E14">
            <v>-2.1180000000000001E-2</v>
          </cell>
          <cell r="F14">
            <v>0</v>
          </cell>
          <cell r="G14">
            <v>2.1187000000000001E-2</v>
          </cell>
        </row>
        <row r="15">
          <cell r="B15" t="str">
            <v>Alkyl Amines Chemicals Ltd</v>
          </cell>
          <cell r="C15">
            <v>0</v>
          </cell>
          <cell r="D15">
            <v>1.098E-2</v>
          </cell>
          <cell r="E15">
            <v>-1.098E-2</v>
          </cell>
          <cell r="F15">
            <v>0</v>
          </cell>
          <cell r="G15">
            <v>1.0984000000000001E-2</v>
          </cell>
        </row>
        <row r="16">
          <cell r="B16" t="str">
            <v>Ambuja Cements Ltd</v>
          </cell>
          <cell r="C16">
            <v>0</v>
          </cell>
          <cell r="D16">
            <v>0.16883000000000001</v>
          </cell>
          <cell r="E16">
            <v>-0.16883000000000001</v>
          </cell>
          <cell r="F16">
            <v>0</v>
          </cell>
          <cell r="G16">
            <v>0.16888900000000001</v>
          </cell>
        </row>
        <row r="17">
          <cell r="B17" t="str">
            <v>APL Apollo Tubes Ltd</v>
          </cell>
          <cell r="C17">
            <v>0</v>
          </cell>
          <cell r="D17">
            <v>0.17304</v>
          </cell>
          <cell r="E17">
            <v>-0.17304</v>
          </cell>
          <cell r="F17">
            <v>0</v>
          </cell>
          <cell r="G17">
            <v>0.1731</v>
          </cell>
        </row>
        <row r="18">
          <cell r="B18" t="str">
            <v>Asian Paints Ltd</v>
          </cell>
          <cell r="C18">
            <v>0</v>
          </cell>
          <cell r="D18">
            <v>0.62312000000000001</v>
          </cell>
          <cell r="E18">
            <v>-0.62312000000000001</v>
          </cell>
          <cell r="F18">
            <v>0</v>
          </cell>
          <cell r="G18">
            <v>0.62333700000000003</v>
          </cell>
        </row>
        <row r="19">
          <cell r="B19" t="str">
            <v>Atul Ltd</v>
          </cell>
          <cell r="C19">
            <v>0</v>
          </cell>
          <cell r="D19">
            <v>4.8520000000000001E-2</v>
          </cell>
          <cell r="E19">
            <v>-4.8520000000000001E-2</v>
          </cell>
          <cell r="F19">
            <v>0</v>
          </cell>
          <cell r="G19">
            <v>4.8536999999999997E-2</v>
          </cell>
        </row>
        <row r="20">
          <cell r="B20" t="str">
            <v>BASF India Ltd</v>
          </cell>
          <cell r="C20">
            <v>0</v>
          </cell>
          <cell r="D20">
            <v>2.2509999999999999E-2</v>
          </cell>
          <cell r="E20">
            <v>-2.2509999999999999E-2</v>
          </cell>
          <cell r="F20">
            <v>0</v>
          </cell>
          <cell r="G20">
            <v>2.2518E-2</v>
          </cell>
        </row>
        <row r="21">
          <cell r="B21" t="str">
            <v>Bayer CropScience Ltd</v>
          </cell>
          <cell r="C21">
            <v>0</v>
          </cell>
          <cell r="D21">
            <v>2.8979999999999999E-2</v>
          </cell>
          <cell r="E21">
            <v>-2.8979999999999999E-2</v>
          </cell>
          <cell r="F21">
            <v>0</v>
          </cell>
          <cell r="G21">
            <v>2.8989999999999998E-2</v>
          </cell>
        </row>
        <row r="22">
          <cell r="B22" t="str">
            <v>Berger Paints India Ltd</v>
          </cell>
          <cell r="C22">
            <v>0</v>
          </cell>
          <cell r="D22">
            <v>7.6009999999999994E-2</v>
          </cell>
          <cell r="E22">
            <v>-7.6009999999999994E-2</v>
          </cell>
          <cell r="F22">
            <v>0</v>
          </cell>
          <cell r="G22">
            <v>7.6036000000000006E-2</v>
          </cell>
        </row>
        <row r="23">
          <cell r="B23" t="str">
            <v>Century Plyboards (India) Ltd</v>
          </cell>
          <cell r="C23">
            <v>0</v>
          </cell>
          <cell r="D23">
            <v>2.503E-2</v>
          </cell>
          <cell r="E23">
            <v>-2.503E-2</v>
          </cell>
          <cell r="F23">
            <v>0</v>
          </cell>
          <cell r="G23">
            <v>2.5038999999999999E-2</v>
          </cell>
        </row>
        <row r="24">
          <cell r="B24" t="str">
            <v>Chambal Fertilisers &amp; Chemicals Ltd</v>
          </cell>
          <cell r="C24">
            <v>0</v>
          </cell>
          <cell r="D24">
            <v>3.6409999999999998E-2</v>
          </cell>
          <cell r="E24">
            <v>-3.6409999999999998E-2</v>
          </cell>
          <cell r="F24">
            <v>0</v>
          </cell>
          <cell r="G24">
            <v>3.6422999999999997E-2</v>
          </cell>
        </row>
        <row r="25">
          <cell r="B25" t="str">
            <v>Clean Science and Technology Ltd</v>
          </cell>
          <cell r="C25">
            <v>0</v>
          </cell>
          <cell r="D25">
            <v>2.0920000000000001E-2</v>
          </cell>
          <cell r="E25">
            <v>-2.0920000000000001E-2</v>
          </cell>
          <cell r="F25">
            <v>0</v>
          </cell>
          <cell r="G25">
            <v>2.0927000000000001E-2</v>
          </cell>
        </row>
        <row r="26">
          <cell r="B26" t="str">
            <v>Coromandel International Ltd</v>
          </cell>
          <cell r="C26">
            <v>0</v>
          </cell>
          <cell r="D26">
            <v>0.13333999999999999</v>
          </cell>
          <cell r="E26">
            <v>-0.13333999999999999</v>
          </cell>
          <cell r="F26">
            <v>0</v>
          </cell>
          <cell r="G26">
            <v>0.133386</v>
          </cell>
        </row>
        <row r="27">
          <cell r="B27" t="str">
            <v>Dalmia Bharat Ltd</v>
          </cell>
          <cell r="C27">
            <v>0</v>
          </cell>
          <cell r="D27">
            <v>8.4470000000000003E-2</v>
          </cell>
          <cell r="E27">
            <v>-8.4470000000000003E-2</v>
          </cell>
          <cell r="F27">
            <v>0</v>
          </cell>
          <cell r="G27">
            <v>8.4499000000000005E-2</v>
          </cell>
        </row>
        <row r="28">
          <cell r="B28" t="str">
            <v>Deepak Fertilisers &amp; Petrochemicals Corp Ltd</v>
          </cell>
          <cell r="C28">
            <v>0</v>
          </cell>
          <cell r="D28">
            <v>4.2979999999999997E-2</v>
          </cell>
          <cell r="E28">
            <v>-4.2979999999999997E-2</v>
          </cell>
          <cell r="F28">
            <v>0</v>
          </cell>
          <cell r="G28">
            <v>4.2994999999999998E-2</v>
          </cell>
        </row>
        <row r="29">
          <cell r="B29" t="str">
            <v>Deepak Nitrite Ltd</v>
          </cell>
          <cell r="C29">
            <v>0</v>
          </cell>
          <cell r="D29">
            <v>5.9130000000000002E-2</v>
          </cell>
          <cell r="E29">
            <v>-5.9130000000000002E-2</v>
          </cell>
          <cell r="F29">
            <v>0</v>
          </cell>
          <cell r="G29">
            <v>5.9151000000000002E-2</v>
          </cell>
        </row>
        <row r="30">
          <cell r="B30" t="str">
            <v>E I D Parry India Ltd</v>
          </cell>
          <cell r="C30">
            <v>0</v>
          </cell>
          <cell r="D30">
            <v>5.2979999999999999E-2</v>
          </cell>
          <cell r="E30">
            <v>-5.2979999999999999E-2</v>
          </cell>
          <cell r="F30">
            <v>0</v>
          </cell>
          <cell r="G30">
            <v>5.2998000000000003E-2</v>
          </cell>
        </row>
        <row r="31">
          <cell r="B31" t="str">
            <v>Godawari Power &amp; Ispat Ltd</v>
          </cell>
          <cell r="C31">
            <v>0</v>
          </cell>
          <cell r="D31">
            <v>3.236E-2</v>
          </cell>
          <cell r="E31">
            <v>-3.236E-2</v>
          </cell>
          <cell r="F31">
            <v>0</v>
          </cell>
          <cell r="G31">
            <v>3.2370999999999997E-2</v>
          </cell>
        </row>
        <row r="32">
          <cell r="B32" t="str">
            <v>Grasim Industries Ltd</v>
          </cell>
          <cell r="C32">
            <v>0</v>
          </cell>
          <cell r="D32">
            <v>0.53768000000000005</v>
          </cell>
          <cell r="E32">
            <v>-0.53768000000000005</v>
          </cell>
          <cell r="F32">
            <v>0</v>
          </cell>
          <cell r="G32">
            <v>0.53786699999999998</v>
          </cell>
        </row>
        <row r="33">
          <cell r="B33" t="str">
            <v>Gujarat Fluorochemicals Ltd Ordinary Shares</v>
          </cell>
          <cell r="C33">
            <v>0</v>
          </cell>
          <cell r="D33">
            <v>7.6929999999999998E-2</v>
          </cell>
          <cell r="E33">
            <v>-7.6929999999999998E-2</v>
          </cell>
          <cell r="F33">
            <v>0</v>
          </cell>
          <cell r="G33">
            <v>7.6956999999999998E-2</v>
          </cell>
        </row>
        <row r="34">
          <cell r="B34" t="str">
            <v>Himadri Speciality Chemical Ltd</v>
          </cell>
          <cell r="C34">
            <v>0</v>
          </cell>
          <cell r="D34">
            <v>5.6980000000000003E-2</v>
          </cell>
          <cell r="E34">
            <v>-5.6980000000000003E-2</v>
          </cell>
          <cell r="F34">
            <v>0</v>
          </cell>
          <cell r="G34">
            <v>5.7000000000000002E-2</v>
          </cell>
        </row>
        <row r="35">
          <cell r="B35" t="str">
            <v>Hindalco Industries Ltd</v>
          </cell>
          <cell r="C35">
            <v>0.55249000000000004</v>
          </cell>
          <cell r="D35">
            <v>0.63834999999999997</v>
          </cell>
          <cell r="E35">
            <v>-8.5860000000000006E-2</v>
          </cell>
          <cell r="F35">
            <v>0.63643799999999995</v>
          </cell>
          <cell r="G35">
            <v>0.63857200000000003</v>
          </cell>
        </row>
        <row r="36">
          <cell r="B36" t="str">
            <v>Hindustan Copper Ltd</v>
          </cell>
          <cell r="C36">
            <v>0</v>
          </cell>
          <cell r="D36">
            <v>8.4620000000000001E-2</v>
          </cell>
          <cell r="E36">
            <v>-8.4620000000000001E-2</v>
          </cell>
          <cell r="F36">
            <v>0</v>
          </cell>
          <cell r="G36">
            <v>8.4649000000000002E-2</v>
          </cell>
        </row>
        <row r="37">
          <cell r="B37" t="str">
            <v>Hindustan Zinc Ltd</v>
          </cell>
          <cell r="C37">
            <v>0</v>
          </cell>
          <cell r="D37">
            <v>0.13211000000000001</v>
          </cell>
          <cell r="E37">
            <v>-0.13211000000000001</v>
          </cell>
          <cell r="F37">
            <v>0</v>
          </cell>
          <cell r="G37">
            <v>0.132156</v>
          </cell>
        </row>
        <row r="38">
          <cell r="B38" t="str">
            <v>India Cements Ltd</v>
          </cell>
          <cell r="C38">
            <v>0</v>
          </cell>
          <cell r="D38">
            <v>1.451E-2</v>
          </cell>
          <cell r="E38">
            <v>-1.451E-2</v>
          </cell>
          <cell r="F38">
            <v>0</v>
          </cell>
          <cell r="G38">
            <v>1.4515E-2</v>
          </cell>
        </row>
        <row r="39">
          <cell r="B39" t="str">
            <v>International Gemmological Institute (India) Ltd</v>
          </cell>
          <cell r="C39">
            <v>0</v>
          </cell>
          <cell r="D39">
            <v>1.6920000000000001E-2</v>
          </cell>
          <cell r="E39">
            <v>-1.6920000000000001E-2</v>
          </cell>
          <cell r="F39">
            <v>0</v>
          </cell>
          <cell r="G39">
            <v>1.6926E-2</v>
          </cell>
        </row>
        <row r="40">
          <cell r="B40" t="str">
            <v>Jindal Saw Ltd</v>
          </cell>
          <cell r="C40">
            <v>0</v>
          </cell>
          <cell r="D40">
            <v>1.9439999999999999E-2</v>
          </cell>
          <cell r="E40">
            <v>-1.9439999999999999E-2</v>
          </cell>
          <cell r="F40">
            <v>0</v>
          </cell>
          <cell r="G40">
            <v>1.9446999999999999E-2</v>
          </cell>
        </row>
        <row r="41">
          <cell r="B41" t="str">
            <v>Jindal Stainless Ltd</v>
          </cell>
          <cell r="C41">
            <v>0</v>
          </cell>
          <cell r="D41">
            <v>0.13350000000000001</v>
          </cell>
          <cell r="E41">
            <v>-0.13350000000000001</v>
          </cell>
          <cell r="F41">
            <v>0</v>
          </cell>
          <cell r="G41">
            <v>0.133546</v>
          </cell>
        </row>
        <row r="42">
          <cell r="B42" t="str">
            <v>Jindal Steel Ltd</v>
          </cell>
          <cell r="C42">
            <v>0</v>
          </cell>
          <cell r="D42">
            <v>0.19596</v>
          </cell>
          <cell r="E42">
            <v>-0.19596</v>
          </cell>
          <cell r="F42">
            <v>0</v>
          </cell>
          <cell r="G42">
            <v>0.19602800000000001</v>
          </cell>
        </row>
        <row r="43">
          <cell r="B43" t="str">
            <v>JK Cement Ltd</v>
          </cell>
          <cell r="C43">
            <v>0</v>
          </cell>
          <cell r="D43">
            <v>0.11519</v>
          </cell>
          <cell r="E43">
            <v>-0.11519</v>
          </cell>
          <cell r="F43">
            <v>0</v>
          </cell>
          <cell r="G43">
            <v>0.11523</v>
          </cell>
        </row>
        <row r="44">
          <cell r="B44" t="str">
            <v>JK Lakshmi Cement Ltd</v>
          </cell>
          <cell r="C44">
            <v>0.40401999999999999</v>
          </cell>
          <cell r="D44">
            <v>0</v>
          </cell>
          <cell r="E44">
            <v>0.40401999999999999</v>
          </cell>
          <cell r="F44">
            <v>0.46540900000000002</v>
          </cell>
          <cell r="G44">
            <v>0</v>
          </cell>
        </row>
        <row r="45">
          <cell r="B45" t="str">
            <v>JSW Cement Ltd</v>
          </cell>
          <cell r="C45">
            <v>0</v>
          </cell>
          <cell r="D45">
            <v>1.256E-2</v>
          </cell>
          <cell r="E45">
            <v>-1.256E-2</v>
          </cell>
          <cell r="F45">
            <v>0</v>
          </cell>
          <cell r="G45">
            <v>1.2564000000000001E-2</v>
          </cell>
        </row>
        <row r="46">
          <cell r="B46" t="str">
            <v>JSW Steel Ltd</v>
          </cell>
          <cell r="C46">
            <v>1.71766</v>
          </cell>
          <cell r="D46">
            <v>0.54449999999999998</v>
          </cell>
          <cell r="E46">
            <v>1.17316</v>
          </cell>
          <cell r="F46">
            <v>1.9786509999999999</v>
          </cell>
          <cell r="G46">
            <v>0.54469000000000001</v>
          </cell>
        </row>
        <row r="47">
          <cell r="B47" t="str">
            <v>Jubilant Ingrevia Ltd Ordinary Shares</v>
          </cell>
          <cell r="C47">
            <v>0</v>
          </cell>
          <cell r="D47">
            <v>2.9440000000000001E-2</v>
          </cell>
          <cell r="E47">
            <v>-2.9440000000000001E-2</v>
          </cell>
          <cell r="F47">
            <v>0</v>
          </cell>
          <cell r="G47">
            <v>2.945E-2</v>
          </cell>
        </row>
        <row r="48">
          <cell r="B48" t="str">
            <v>Linde India Ltd</v>
          </cell>
          <cell r="C48">
            <v>0</v>
          </cell>
          <cell r="D48">
            <v>6.2309999999999997E-2</v>
          </cell>
          <cell r="E48">
            <v>-6.2309999999999997E-2</v>
          </cell>
          <cell r="F48">
            <v>0</v>
          </cell>
          <cell r="G48">
            <v>6.2331999999999999E-2</v>
          </cell>
        </row>
        <row r="49">
          <cell r="B49" t="str">
            <v>Lloyds Metals &amp; Energy Ltd</v>
          </cell>
          <cell r="C49">
            <v>0</v>
          </cell>
          <cell r="D49">
            <v>8.5190000000000002E-2</v>
          </cell>
          <cell r="E49">
            <v>-8.5190000000000002E-2</v>
          </cell>
          <cell r="F49">
            <v>0</v>
          </cell>
          <cell r="G49">
            <v>8.5220000000000004E-2</v>
          </cell>
        </row>
        <row r="50">
          <cell r="B50" t="str">
            <v>Maharashtra Seamless Ltd</v>
          </cell>
          <cell r="C50">
            <v>0</v>
          </cell>
          <cell r="D50">
            <v>1.133E-2</v>
          </cell>
          <cell r="E50">
            <v>-1.133E-2</v>
          </cell>
          <cell r="F50">
            <v>0</v>
          </cell>
          <cell r="G50">
            <v>1.1334E-2</v>
          </cell>
        </row>
        <row r="51">
          <cell r="B51" t="str">
            <v>National Aluminium Co Ltd</v>
          </cell>
          <cell r="C51">
            <v>0</v>
          </cell>
          <cell r="D51">
            <v>0.14027000000000001</v>
          </cell>
          <cell r="E51">
            <v>-0.14027000000000001</v>
          </cell>
          <cell r="F51">
            <v>0</v>
          </cell>
          <cell r="G51">
            <v>0.140319</v>
          </cell>
        </row>
        <row r="52">
          <cell r="B52" t="str">
            <v>Navin Fluorine International Ltd</v>
          </cell>
          <cell r="C52">
            <v>0</v>
          </cell>
          <cell r="D52">
            <v>0.10836999999999999</v>
          </cell>
          <cell r="E52">
            <v>-0.10836999999999999</v>
          </cell>
          <cell r="F52">
            <v>0</v>
          </cell>
          <cell r="G52">
            <v>0.108408</v>
          </cell>
        </row>
        <row r="53">
          <cell r="B53" t="str">
            <v>NMDC Ltd</v>
          </cell>
          <cell r="C53">
            <v>0</v>
          </cell>
          <cell r="D53">
            <v>0.14304</v>
          </cell>
          <cell r="E53">
            <v>-0.14304</v>
          </cell>
          <cell r="F53">
            <v>0</v>
          </cell>
          <cell r="G53">
            <v>0.14308999999999999</v>
          </cell>
        </row>
        <row r="54">
          <cell r="B54" t="str">
            <v>NMDC Steel Ltd</v>
          </cell>
          <cell r="C54">
            <v>0</v>
          </cell>
          <cell r="D54">
            <v>2.5389999999999999E-2</v>
          </cell>
          <cell r="E54">
            <v>-2.5389999999999999E-2</v>
          </cell>
          <cell r="F54">
            <v>0</v>
          </cell>
          <cell r="G54">
            <v>2.5399000000000001E-2</v>
          </cell>
        </row>
        <row r="55">
          <cell r="B55" t="str">
            <v>Nuvoco Vista Corp Ltd</v>
          </cell>
          <cell r="C55">
            <v>0.64688000000000001</v>
          </cell>
          <cell r="D55">
            <v>1.7739999999999999E-2</v>
          </cell>
          <cell r="E55">
            <v>0.62914000000000003</v>
          </cell>
          <cell r="F55">
            <v>0.74517100000000003</v>
          </cell>
          <cell r="G55">
            <v>1.7746000000000001E-2</v>
          </cell>
        </row>
        <row r="56">
          <cell r="B56" t="str">
            <v>PCBL Chemical Ltd</v>
          </cell>
          <cell r="C56">
            <v>0</v>
          </cell>
          <cell r="D56">
            <v>2.6360000000000001E-2</v>
          </cell>
          <cell r="E56">
            <v>-2.6360000000000001E-2</v>
          </cell>
          <cell r="F56">
            <v>0</v>
          </cell>
          <cell r="G56">
            <v>2.6369E-2</v>
          </cell>
        </row>
        <row r="57">
          <cell r="B57" t="str">
            <v>PI Industries Ltd</v>
          </cell>
          <cell r="C57">
            <v>0</v>
          </cell>
          <cell r="D57">
            <v>0.13052</v>
          </cell>
          <cell r="E57">
            <v>-0.13052</v>
          </cell>
          <cell r="F57">
            <v>0</v>
          </cell>
          <cell r="G57">
            <v>0.13056499999999999</v>
          </cell>
        </row>
        <row r="58">
          <cell r="B58" t="str">
            <v>Pidilite Industries Ltd</v>
          </cell>
          <cell r="C58">
            <v>0</v>
          </cell>
          <cell r="D58">
            <v>0.22903999999999999</v>
          </cell>
          <cell r="E58">
            <v>-0.22903999999999999</v>
          </cell>
          <cell r="F58">
            <v>0</v>
          </cell>
          <cell r="G58">
            <v>0.22911999999999999</v>
          </cell>
        </row>
        <row r="59">
          <cell r="B59" t="str">
            <v>Ramco Cements Ltd</v>
          </cell>
          <cell r="C59">
            <v>0.43497999999999998</v>
          </cell>
          <cell r="D59">
            <v>6.6409999999999997E-2</v>
          </cell>
          <cell r="E59">
            <v>0.36857000000000001</v>
          </cell>
          <cell r="F59">
            <v>0.50107299999999999</v>
          </cell>
          <cell r="G59">
            <v>6.6433000000000006E-2</v>
          </cell>
        </row>
        <row r="60">
          <cell r="B60" t="str">
            <v>Rashtriya Chemicals &amp; Fertilizers Ltd</v>
          </cell>
          <cell r="C60">
            <v>0</v>
          </cell>
          <cell r="D60">
            <v>1.005E-2</v>
          </cell>
          <cell r="E60">
            <v>-1.005E-2</v>
          </cell>
          <cell r="F60">
            <v>0</v>
          </cell>
          <cell r="G60">
            <v>1.0052999999999999E-2</v>
          </cell>
        </row>
        <row r="61">
          <cell r="B61" t="str">
            <v>Sarda Energy &amp; Minerals Ltd</v>
          </cell>
          <cell r="C61">
            <v>0</v>
          </cell>
          <cell r="D61">
            <v>2.3800000000000002E-2</v>
          </cell>
          <cell r="E61">
            <v>-2.3800000000000002E-2</v>
          </cell>
          <cell r="F61">
            <v>0</v>
          </cell>
          <cell r="G61">
            <v>2.3807999999999999E-2</v>
          </cell>
        </row>
        <row r="62">
          <cell r="B62" t="str">
            <v>Shree Cement Ltd</v>
          </cell>
          <cell r="C62">
            <v>0</v>
          </cell>
          <cell r="D62">
            <v>0.17718999999999999</v>
          </cell>
          <cell r="E62">
            <v>-0.17718999999999999</v>
          </cell>
          <cell r="F62">
            <v>0</v>
          </cell>
          <cell r="G62">
            <v>0.17725199999999999</v>
          </cell>
        </row>
        <row r="63">
          <cell r="B63" t="str">
            <v>Shyam Metalics and Energy Ltd</v>
          </cell>
          <cell r="C63">
            <v>0</v>
          </cell>
          <cell r="D63">
            <v>2.9590000000000002E-2</v>
          </cell>
          <cell r="E63">
            <v>-2.9590000000000002E-2</v>
          </cell>
          <cell r="F63">
            <v>0</v>
          </cell>
          <cell r="G63">
            <v>2.9600000000000001E-2</v>
          </cell>
        </row>
        <row r="64">
          <cell r="B64" t="str">
            <v>Solar Industries India Ltd</v>
          </cell>
          <cell r="C64">
            <v>0</v>
          </cell>
          <cell r="D64">
            <v>0.14827000000000001</v>
          </cell>
          <cell r="E64">
            <v>-0.14827000000000001</v>
          </cell>
          <cell r="F64">
            <v>0</v>
          </cell>
          <cell r="G64">
            <v>0.14832200000000001</v>
          </cell>
        </row>
        <row r="65">
          <cell r="B65" t="str">
            <v>Steel Authority Of India Ltd</v>
          </cell>
          <cell r="C65">
            <v>0</v>
          </cell>
          <cell r="D65">
            <v>0.10575</v>
          </cell>
          <cell r="E65">
            <v>-0.10575</v>
          </cell>
          <cell r="F65">
            <v>0</v>
          </cell>
          <cell r="G65">
            <v>0.10578700000000001</v>
          </cell>
        </row>
        <row r="66">
          <cell r="B66" t="str">
            <v>Sumitomo Chemical India Ltd Ordinary Shares</v>
          </cell>
          <cell r="C66">
            <v>0</v>
          </cell>
          <cell r="D66">
            <v>2.8819999999999998E-2</v>
          </cell>
          <cell r="E66">
            <v>-2.8819999999999998E-2</v>
          </cell>
          <cell r="F66">
            <v>0</v>
          </cell>
          <cell r="G66">
            <v>2.8830000000000001E-2</v>
          </cell>
        </row>
        <row r="67">
          <cell r="B67" t="str">
            <v>Tata Chemicals Ltd</v>
          </cell>
          <cell r="C67">
            <v>0</v>
          </cell>
          <cell r="D67">
            <v>5.9589999999999997E-2</v>
          </cell>
          <cell r="E67">
            <v>-5.9589999999999997E-2</v>
          </cell>
          <cell r="F67">
            <v>0</v>
          </cell>
          <cell r="G67">
            <v>5.9610999999999997E-2</v>
          </cell>
        </row>
        <row r="68">
          <cell r="B68" t="str">
            <v>Tata Steel Ltd</v>
          </cell>
          <cell r="C68">
            <v>1.49607</v>
          </cell>
          <cell r="D68">
            <v>0.74060999999999999</v>
          </cell>
          <cell r="E68">
            <v>0.75546000000000002</v>
          </cell>
          <cell r="F68">
            <v>1.7233909999999999</v>
          </cell>
          <cell r="G68">
            <v>0.74086799999999997</v>
          </cell>
        </row>
        <row r="69">
          <cell r="B69" t="str">
            <v>The Fertilizers &amp; Chemicals Travancore Ltd</v>
          </cell>
          <cell r="C69">
            <v>0</v>
          </cell>
          <cell r="D69">
            <v>2.826E-2</v>
          </cell>
          <cell r="E69">
            <v>-2.826E-2</v>
          </cell>
          <cell r="F69">
            <v>0</v>
          </cell>
          <cell r="G69">
            <v>2.827E-2</v>
          </cell>
        </row>
        <row r="70">
          <cell r="B70" t="str">
            <v>UltraTech Cement Ltd</v>
          </cell>
          <cell r="C70">
            <v>0</v>
          </cell>
          <cell r="D70">
            <v>0.69501999999999997</v>
          </cell>
          <cell r="E70">
            <v>-0.69501999999999997</v>
          </cell>
          <cell r="F70">
            <v>0</v>
          </cell>
          <cell r="G70">
            <v>0.69526200000000005</v>
          </cell>
        </row>
        <row r="71">
          <cell r="B71" t="str">
            <v>UPL Ltd</v>
          </cell>
          <cell r="C71">
            <v>0</v>
          </cell>
          <cell r="D71">
            <v>0.22159999999999999</v>
          </cell>
          <cell r="E71">
            <v>-0.22159999999999999</v>
          </cell>
          <cell r="F71">
            <v>0</v>
          </cell>
          <cell r="G71">
            <v>0.22167700000000001</v>
          </cell>
        </row>
        <row r="72">
          <cell r="B72" t="str">
            <v>Usha Martin Ltd</v>
          </cell>
          <cell r="C72">
            <v>0</v>
          </cell>
          <cell r="D72">
            <v>4.036E-2</v>
          </cell>
          <cell r="E72">
            <v>-4.036E-2</v>
          </cell>
          <cell r="F72">
            <v>0</v>
          </cell>
          <cell r="G72">
            <v>4.0374E-2</v>
          </cell>
        </row>
        <row r="73">
          <cell r="B73" t="str">
            <v>Vedanta Ltd</v>
          </cell>
          <cell r="C73">
            <v>0</v>
          </cell>
          <cell r="D73">
            <v>0.51019000000000003</v>
          </cell>
          <cell r="E73">
            <v>-0.51019000000000003</v>
          </cell>
          <cell r="F73">
            <v>0</v>
          </cell>
          <cell r="G73">
            <v>0.51036800000000004</v>
          </cell>
        </row>
        <row r="74">
          <cell r="B74" t="str">
            <v>Welspun Corp Ltd</v>
          </cell>
          <cell r="C74">
            <v>0</v>
          </cell>
          <cell r="D74">
            <v>5.2979999999999999E-2</v>
          </cell>
          <cell r="E74">
            <v>-5.2979999999999999E-2</v>
          </cell>
          <cell r="F74">
            <v>0</v>
          </cell>
          <cell r="G74">
            <v>5.2998000000000003E-2</v>
          </cell>
        </row>
        <row r="75">
          <cell r="C75">
            <v>2.4668600000000001</v>
          </cell>
          <cell r="D75">
            <v>4.0080999999999998</v>
          </cell>
          <cell r="E75">
            <v>-1.5412399999999999</v>
          </cell>
          <cell r="F75">
            <v>2.841688</v>
          </cell>
          <cell r="G75">
            <v>4.0094960000000004</v>
          </cell>
        </row>
        <row r="76">
          <cell r="B76" t="str">
            <v>Affle 3i Ltd</v>
          </cell>
          <cell r="C76">
            <v>0</v>
          </cell>
          <cell r="D76">
            <v>5.6770000000000001E-2</v>
          </cell>
          <cell r="E76">
            <v>-5.6770000000000001E-2</v>
          </cell>
          <cell r="F76">
            <v>0</v>
          </cell>
          <cell r="G76">
            <v>5.679E-2</v>
          </cell>
        </row>
        <row r="77">
          <cell r="B77" t="str">
            <v>Bharti Airtel Ltd</v>
          </cell>
          <cell r="C77">
            <v>2.4052799999999999</v>
          </cell>
          <cell r="D77">
            <v>2.9194300000000002</v>
          </cell>
          <cell r="E77">
            <v>-0.51415</v>
          </cell>
          <cell r="F77">
            <v>2.7707519999999999</v>
          </cell>
          <cell r="G77">
            <v>2.9204469999999998</v>
          </cell>
        </row>
        <row r="78">
          <cell r="B78" t="str">
            <v>Bharti Hexacom Ltd</v>
          </cell>
          <cell r="C78">
            <v>0</v>
          </cell>
          <cell r="D78">
            <v>6.8210000000000007E-2</v>
          </cell>
          <cell r="E78">
            <v>-6.8210000000000007E-2</v>
          </cell>
          <cell r="F78">
            <v>0</v>
          </cell>
          <cell r="G78">
            <v>6.8234000000000003E-2</v>
          </cell>
        </row>
        <row r="79">
          <cell r="B79" t="str">
            <v>IndiaMART InterMESH Ltd</v>
          </cell>
          <cell r="C79">
            <v>0</v>
          </cell>
          <cell r="D79">
            <v>3.3849999999999998E-2</v>
          </cell>
          <cell r="E79">
            <v>-3.3849999999999998E-2</v>
          </cell>
          <cell r="F79">
            <v>0</v>
          </cell>
          <cell r="G79">
            <v>3.3862000000000003E-2</v>
          </cell>
        </row>
        <row r="80">
          <cell r="B80" t="str">
            <v>Indus Towers Ltd Ordinary Shares</v>
          </cell>
          <cell r="C80">
            <v>0</v>
          </cell>
          <cell r="D80">
            <v>0.26966000000000001</v>
          </cell>
          <cell r="E80">
            <v>-0.26966000000000001</v>
          </cell>
          <cell r="F80">
            <v>0</v>
          </cell>
          <cell r="G80">
            <v>0.26975399999999999</v>
          </cell>
        </row>
        <row r="81">
          <cell r="B81" t="str">
            <v>Info Edge (India) Ltd</v>
          </cell>
          <cell r="C81">
            <v>0</v>
          </cell>
          <cell r="D81">
            <v>0.25785999999999998</v>
          </cell>
          <cell r="E81">
            <v>-0.25785999999999998</v>
          </cell>
          <cell r="F81">
            <v>0</v>
          </cell>
          <cell r="G81">
            <v>0.25795000000000001</v>
          </cell>
        </row>
        <row r="82">
          <cell r="B82" t="str">
            <v>PVR INOX Ltd</v>
          </cell>
          <cell r="C82">
            <v>0</v>
          </cell>
          <cell r="D82">
            <v>3.6049999999999999E-2</v>
          </cell>
          <cell r="E82">
            <v>-3.6049999999999999E-2</v>
          </cell>
          <cell r="F82">
            <v>0</v>
          </cell>
          <cell r="G82">
            <v>3.6062999999999998E-2</v>
          </cell>
        </row>
        <row r="83">
          <cell r="B83" t="str">
            <v>RailTel Corporation of India Ltd</v>
          </cell>
          <cell r="C83">
            <v>0</v>
          </cell>
          <cell r="D83">
            <v>1.6150000000000001E-2</v>
          </cell>
          <cell r="E83">
            <v>-1.6150000000000001E-2</v>
          </cell>
          <cell r="F83">
            <v>0</v>
          </cell>
          <cell r="G83">
            <v>1.6156E-2</v>
          </cell>
        </row>
        <row r="84">
          <cell r="B84" t="str">
            <v>Saregama India Ltd</v>
          </cell>
          <cell r="C84">
            <v>0</v>
          </cell>
          <cell r="D84">
            <v>1.308E-2</v>
          </cell>
          <cell r="E84">
            <v>-1.308E-2</v>
          </cell>
          <cell r="F84">
            <v>0</v>
          </cell>
          <cell r="G84">
            <v>1.3084999999999999E-2</v>
          </cell>
        </row>
        <row r="85">
          <cell r="B85" t="str">
            <v>Sun TV Network Ltd</v>
          </cell>
          <cell r="C85">
            <v>0</v>
          </cell>
          <cell r="D85">
            <v>2.887E-2</v>
          </cell>
          <cell r="E85">
            <v>-2.887E-2</v>
          </cell>
          <cell r="F85">
            <v>0</v>
          </cell>
          <cell r="G85">
            <v>2.8879999999999999E-2</v>
          </cell>
        </row>
        <row r="86">
          <cell r="B86" t="str">
            <v>Tata Communications Ltd</v>
          </cell>
          <cell r="C86">
            <v>0</v>
          </cell>
          <cell r="D86">
            <v>0.10673000000000001</v>
          </cell>
          <cell r="E86">
            <v>-0.10673000000000001</v>
          </cell>
          <cell r="F86">
            <v>0</v>
          </cell>
          <cell r="G86">
            <v>0.106767</v>
          </cell>
        </row>
        <row r="87">
          <cell r="B87" t="str">
            <v>Tata Teleservices (Maharashtra) Ltd</v>
          </cell>
          <cell r="C87">
            <v>0</v>
          </cell>
          <cell r="D87">
            <v>1.2409999999999999E-2</v>
          </cell>
          <cell r="E87">
            <v>-1.2409999999999999E-2</v>
          </cell>
          <cell r="F87">
            <v>0</v>
          </cell>
          <cell r="G87">
            <v>1.2414E-2</v>
          </cell>
        </row>
        <row r="88">
          <cell r="B88" t="str">
            <v>Vodafone Idea Ltd</v>
          </cell>
          <cell r="C88">
            <v>0</v>
          </cell>
          <cell r="D88">
            <v>0.14779999999999999</v>
          </cell>
          <cell r="E88">
            <v>-0.14779999999999999</v>
          </cell>
          <cell r="F88">
            <v>0</v>
          </cell>
          <cell r="G88">
            <v>0.14785100000000001</v>
          </cell>
        </row>
        <row r="89">
          <cell r="B89" t="str">
            <v>Zee Entertainment Enterprises Ltd</v>
          </cell>
          <cell r="C89">
            <v>6.1580000000000003E-2</v>
          </cell>
          <cell r="D89">
            <v>4.1230000000000003E-2</v>
          </cell>
          <cell r="E89">
            <v>2.035E-2</v>
          </cell>
          <cell r="F89">
            <v>7.0937E-2</v>
          </cell>
          <cell r="G89">
            <v>4.1244000000000003E-2</v>
          </cell>
        </row>
        <row r="90">
          <cell r="C90">
            <v>15.218719999999999</v>
          </cell>
          <cell r="D90">
            <v>11.526899999999999</v>
          </cell>
          <cell r="E90">
            <v>3.6918199999999999</v>
          </cell>
          <cell r="F90">
            <v>17.531137000000001</v>
          </cell>
          <cell r="G90">
            <v>11.530913999999999</v>
          </cell>
        </row>
        <row r="91">
          <cell r="B91" t="str">
            <v>Aditya Birla Fashion and Retail Ltd</v>
          </cell>
          <cell r="C91">
            <v>0</v>
          </cell>
          <cell r="D91">
            <v>2.0920000000000001E-2</v>
          </cell>
          <cell r="E91">
            <v>-2.0920000000000001E-2</v>
          </cell>
          <cell r="F91">
            <v>0</v>
          </cell>
          <cell r="G91">
            <v>2.0927000000000001E-2</v>
          </cell>
        </row>
        <row r="92">
          <cell r="B92" t="str">
            <v>Aditya Birla Lifestyle Brands Ltd</v>
          </cell>
          <cell r="C92">
            <v>0</v>
          </cell>
          <cell r="D92">
            <v>3.082E-2</v>
          </cell>
          <cell r="E92">
            <v>-3.082E-2</v>
          </cell>
          <cell r="F92">
            <v>0</v>
          </cell>
          <cell r="G92">
            <v>3.0831000000000001E-2</v>
          </cell>
        </row>
        <row r="93">
          <cell r="B93" t="str">
            <v>Alok Industries Ltd</v>
          </cell>
          <cell r="C93">
            <v>0</v>
          </cell>
          <cell r="D93">
            <v>9.9000000000000008E-3</v>
          </cell>
          <cell r="E93">
            <v>-9.9000000000000008E-3</v>
          </cell>
          <cell r="F93">
            <v>0</v>
          </cell>
          <cell r="G93">
            <v>9.9030000000000003E-3</v>
          </cell>
        </row>
        <row r="94">
          <cell r="B94" t="str">
            <v>Amber Enterprises India Ltd Ordinary Shares</v>
          </cell>
          <cell r="C94">
            <v>0</v>
          </cell>
          <cell r="D94">
            <v>6.9129999999999997E-2</v>
          </cell>
          <cell r="E94">
            <v>-6.9129999999999997E-2</v>
          </cell>
          <cell r="F94">
            <v>0</v>
          </cell>
          <cell r="G94">
            <v>6.9153999999999993E-2</v>
          </cell>
        </row>
        <row r="95">
          <cell r="B95" t="str">
            <v>Apollo Tyres Ltd</v>
          </cell>
          <cell r="C95">
            <v>0</v>
          </cell>
          <cell r="D95">
            <v>8.047E-2</v>
          </cell>
          <cell r="E95">
            <v>-8.047E-2</v>
          </cell>
          <cell r="F95">
            <v>0</v>
          </cell>
          <cell r="G95">
            <v>8.0498E-2</v>
          </cell>
        </row>
        <row r="96">
          <cell r="B96" t="str">
            <v>Asahi India Glass Ltd</v>
          </cell>
          <cell r="C96">
            <v>0</v>
          </cell>
          <cell r="D96">
            <v>6.123E-2</v>
          </cell>
          <cell r="E96">
            <v>-6.123E-2</v>
          </cell>
          <cell r="F96">
            <v>0</v>
          </cell>
          <cell r="G96">
            <v>6.1251E-2</v>
          </cell>
        </row>
        <row r="97">
          <cell r="B97" t="str">
            <v>Ather Energy Ltd</v>
          </cell>
          <cell r="C97">
            <v>0</v>
          </cell>
          <cell r="D97">
            <v>5.339E-2</v>
          </cell>
          <cell r="E97">
            <v>-5.339E-2</v>
          </cell>
          <cell r="F97">
            <v>0</v>
          </cell>
          <cell r="G97">
            <v>5.3408999999999998E-2</v>
          </cell>
        </row>
        <row r="98">
          <cell r="B98" t="str">
            <v>Bajaj Auto Ltd</v>
          </cell>
          <cell r="C98">
            <v>1.9404999999999999</v>
          </cell>
          <cell r="D98">
            <v>0.51556999999999997</v>
          </cell>
          <cell r="E98">
            <v>1.42493</v>
          </cell>
          <cell r="F98">
            <v>2.2353499999999999</v>
          </cell>
          <cell r="G98">
            <v>0.51575000000000004</v>
          </cell>
        </row>
        <row r="99">
          <cell r="B99" t="str">
            <v>Balkrishna Industries Ltd</v>
          </cell>
          <cell r="C99">
            <v>0</v>
          </cell>
          <cell r="D99">
            <v>9.2420000000000002E-2</v>
          </cell>
          <cell r="E99">
            <v>-9.2420000000000002E-2</v>
          </cell>
          <cell r="F99">
            <v>0</v>
          </cell>
          <cell r="G99">
            <v>9.2452000000000006E-2</v>
          </cell>
        </row>
        <row r="100">
          <cell r="B100" t="str">
            <v>Bata India Ltd</v>
          </cell>
          <cell r="C100">
            <v>0</v>
          </cell>
          <cell r="D100">
            <v>2.9950000000000001E-2</v>
          </cell>
          <cell r="E100">
            <v>-2.9950000000000001E-2</v>
          </cell>
          <cell r="F100">
            <v>0</v>
          </cell>
          <cell r="G100">
            <v>2.9960000000000001E-2</v>
          </cell>
        </row>
        <row r="101">
          <cell r="B101" t="str">
            <v>Bharat Forge Ltd</v>
          </cell>
          <cell r="C101">
            <v>0</v>
          </cell>
          <cell r="D101">
            <v>0.19509000000000001</v>
          </cell>
          <cell r="E101">
            <v>-0.19509000000000001</v>
          </cell>
          <cell r="F101">
            <v>0</v>
          </cell>
          <cell r="G101">
            <v>0.195158</v>
          </cell>
        </row>
        <row r="102">
          <cell r="B102" t="str">
            <v>Bosch Ltd</v>
          </cell>
          <cell r="C102">
            <v>1.14151</v>
          </cell>
          <cell r="D102">
            <v>0.15523999999999999</v>
          </cell>
          <cell r="E102">
            <v>0.98626999999999998</v>
          </cell>
          <cell r="F102">
            <v>1.3149569999999999</v>
          </cell>
          <cell r="G102">
            <v>0.15529399999999999</v>
          </cell>
        </row>
        <row r="103">
          <cell r="B103" t="str">
            <v>Brainbees Solutions Ltd</v>
          </cell>
          <cell r="C103">
            <v>0</v>
          </cell>
          <cell r="D103">
            <v>3.1539999999999999E-2</v>
          </cell>
          <cell r="E103">
            <v>-3.1539999999999999E-2</v>
          </cell>
          <cell r="F103">
            <v>0</v>
          </cell>
          <cell r="G103">
            <v>3.1551000000000003E-2</v>
          </cell>
        </row>
        <row r="104">
          <cell r="B104" t="str">
            <v>Campus Activewear Ltd</v>
          </cell>
          <cell r="C104">
            <v>0</v>
          </cell>
          <cell r="D104">
            <v>1.1129999999999999E-2</v>
          </cell>
          <cell r="E104">
            <v>-1.1129999999999999E-2</v>
          </cell>
          <cell r="F104">
            <v>0</v>
          </cell>
          <cell r="G104">
            <v>1.1134E-2</v>
          </cell>
        </row>
        <row r="105">
          <cell r="B105" t="str">
            <v>Ceat Ltd</v>
          </cell>
          <cell r="C105">
            <v>0</v>
          </cell>
          <cell r="D105">
            <v>3.9899999999999998E-2</v>
          </cell>
          <cell r="E105">
            <v>-3.9899999999999998E-2</v>
          </cell>
          <cell r="F105">
            <v>0</v>
          </cell>
          <cell r="G105">
            <v>3.9913999999999998E-2</v>
          </cell>
        </row>
        <row r="106">
          <cell r="B106" t="str">
            <v>Chalet Hotels Ltd</v>
          </cell>
          <cell r="C106">
            <v>0</v>
          </cell>
          <cell r="D106">
            <v>3.0929999999999999E-2</v>
          </cell>
          <cell r="E106">
            <v>-3.0929999999999999E-2</v>
          </cell>
          <cell r="F106">
            <v>0</v>
          </cell>
          <cell r="G106">
            <v>3.0941E-2</v>
          </cell>
        </row>
        <row r="107">
          <cell r="B107" t="str">
            <v>CIE Automotive India Ltd</v>
          </cell>
          <cell r="C107">
            <v>0.44083</v>
          </cell>
          <cell r="D107">
            <v>0</v>
          </cell>
          <cell r="E107">
            <v>0.44083</v>
          </cell>
          <cell r="F107">
            <v>0.50781200000000004</v>
          </cell>
          <cell r="G107">
            <v>0</v>
          </cell>
        </row>
        <row r="108">
          <cell r="B108" t="str">
            <v>Craftsman Automation Ltd</v>
          </cell>
          <cell r="C108">
            <v>0</v>
          </cell>
          <cell r="D108">
            <v>4.6929999999999999E-2</v>
          </cell>
          <cell r="E108">
            <v>-4.6929999999999999E-2</v>
          </cell>
          <cell r="F108">
            <v>0</v>
          </cell>
          <cell r="G108">
            <v>4.6946000000000002E-2</v>
          </cell>
        </row>
        <row r="109">
          <cell r="B109" t="str">
            <v>Crompton Greaves Consumer Electricals Ltd</v>
          </cell>
          <cell r="C109">
            <v>0.37984000000000001</v>
          </cell>
          <cell r="D109">
            <v>8.0670000000000006E-2</v>
          </cell>
          <cell r="E109">
            <v>0.29916999999999999</v>
          </cell>
          <cell r="F109">
            <v>0.43755500000000003</v>
          </cell>
          <cell r="G109">
            <v>8.0698000000000006E-2</v>
          </cell>
        </row>
        <row r="110">
          <cell r="B110" t="str">
            <v>Devyani International Ltd</v>
          </cell>
          <cell r="C110">
            <v>0</v>
          </cell>
          <cell r="D110">
            <v>2.9590000000000002E-2</v>
          </cell>
          <cell r="E110">
            <v>-2.9590000000000002E-2</v>
          </cell>
          <cell r="F110">
            <v>0</v>
          </cell>
          <cell r="G110">
            <v>2.9600000000000001E-2</v>
          </cell>
        </row>
        <row r="111">
          <cell r="B111" t="str">
            <v>Eicher Motors Ltd</v>
          </cell>
          <cell r="C111">
            <v>2.4300299999999999</v>
          </cell>
          <cell r="D111">
            <v>0.50065000000000004</v>
          </cell>
          <cell r="E111">
            <v>1.9293800000000001</v>
          </cell>
          <cell r="F111">
            <v>2.7992620000000001</v>
          </cell>
          <cell r="G111">
            <v>0.50082400000000005</v>
          </cell>
        </row>
        <row r="112">
          <cell r="B112" t="str">
            <v>EIH Ltd</v>
          </cell>
          <cell r="C112">
            <v>0</v>
          </cell>
          <cell r="D112">
            <v>3.6360000000000003E-2</v>
          </cell>
          <cell r="E112">
            <v>-3.6360000000000003E-2</v>
          </cell>
          <cell r="F112">
            <v>0</v>
          </cell>
          <cell r="G112">
            <v>3.6373000000000003E-2</v>
          </cell>
        </row>
        <row r="113">
          <cell r="B113" t="str">
            <v>Endurance Technologies Ltd</v>
          </cell>
          <cell r="C113">
            <v>0</v>
          </cell>
          <cell r="D113">
            <v>4.5440000000000001E-2</v>
          </cell>
          <cell r="E113">
            <v>-4.5440000000000001E-2</v>
          </cell>
          <cell r="F113">
            <v>0</v>
          </cell>
          <cell r="G113">
            <v>4.5456000000000003E-2</v>
          </cell>
        </row>
        <row r="114">
          <cell r="B114" t="str">
            <v>Eternal Ltd</v>
          </cell>
          <cell r="C114">
            <v>0.35321000000000002</v>
          </cell>
          <cell r="D114">
            <v>0.99402000000000001</v>
          </cell>
          <cell r="E114">
            <v>-0.64080999999999999</v>
          </cell>
          <cell r="F114">
            <v>0.40687899999999999</v>
          </cell>
          <cell r="G114">
            <v>0.99436599999999997</v>
          </cell>
        </row>
        <row r="115">
          <cell r="B115" t="str">
            <v>Exide Industries Ltd</v>
          </cell>
          <cell r="C115">
            <v>0</v>
          </cell>
          <cell r="D115">
            <v>8.201E-2</v>
          </cell>
          <cell r="E115">
            <v>-8.201E-2</v>
          </cell>
          <cell r="F115">
            <v>0</v>
          </cell>
          <cell r="G115">
            <v>8.2039000000000001E-2</v>
          </cell>
        </row>
        <row r="116">
          <cell r="B116" t="str">
            <v>Force Motors Ltd</v>
          </cell>
          <cell r="C116">
            <v>0</v>
          </cell>
          <cell r="D116">
            <v>4.9590000000000002E-2</v>
          </cell>
          <cell r="E116">
            <v>-4.9590000000000002E-2</v>
          </cell>
          <cell r="F116">
            <v>0</v>
          </cell>
          <cell r="G116">
            <v>4.9606999999999998E-2</v>
          </cell>
        </row>
        <row r="117">
          <cell r="B117" t="str">
            <v>FSN E-Commerce Ventures Ltd</v>
          </cell>
          <cell r="C117">
            <v>0.85358999999999996</v>
          </cell>
          <cell r="D117">
            <v>0.18021999999999999</v>
          </cell>
          <cell r="E117">
            <v>0.67337000000000002</v>
          </cell>
          <cell r="F117">
            <v>0.98328899999999997</v>
          </cell>
          <cell r="G117">
            <v>0.180283</v>
          </cell>
        </row>
        <row r="118">
          <cell r="B118" t="str">
            <v>Hero MotoCorp Ltd</v>
          </cell>
          <cell r="C118">
            <v>0</v>
          </cell>
          <cell r="D118">
            <v>0.37264000000000003</v>
          </cell>
          <cell r="E118">
            <v>-0.37264000000000003</v>
          </cell>
          <cell r="F118">
            <v>0</v>
          </cell>
          <cell r="G118">
            <v>0.37276999999999999</v>
          </cell>
        </row>
        <row r="119">
          <cell r="B119" t="str">
            <v>Hyundai Motor India Ltd</v>
          </cell>
          <cell r="C119">
            <v>2.14778</v>
          </cell>
          <cell r="D119">
            <v>0.16299</v>
          </cell>
          <cell r="E119">
            <v>1.9847900000000001</v>
          </cell>
          <cell r="F119">
            <v>2.474126</v>
          </cell>
          <cell r="G119">
            <v>0.163047</v>
          </cell>
        </row>
        <row r="120">
          <cell r="B120" t="str">
            <v>Indian Hotels Co Ltd</v>
          </cell>
          <cell r="C120">
            <v>0</v>
          </cell>
          <cell r="D120">
            <v>0.32289000000000001</v>
          </cell>
          <cell r="E120">
            <v>-0.32289000000000001</v>
          </cell>
          <cell r="F120">
            <v>0</v>
          </cell>
          <cell r="G120">
            <v>0.32300200000000001</v>
          </cell>
        </row>
        <row r="121">
          <cell r="B121" t="str">
            <v>Indian Railway Catering And Tourism Corp Ltd</v>
          </cell>
          <cell r="C121">
            <v>0</v>
          </cell>
          <cell r="D121">
            <v>0.10278</v>
          </cell>
          <cell r="E121">
            <v>-0.10278</v>
          </cell>
          <cell r="F121">
            <v>0</v>
          </cell>
          <cell r="G121">
            <v>0.102816</v>
          </cell>
        </row>
        <row r="122">
          <cell r="B122" t="str">
            <v>ITC Hotels Ltd</v>
          </cell>
          <cell r="C122">
            <v>0</v>
          </cell>
          <cell r="D122">
            <v>9.1600000000000001E-2</v>
          </cell>
          <cell r="E122">
            <v>-9.1600000000000001E-2</v>
          </cell>
          <cell r="F122">
            <v>0</v>
          </cell>
          <cell r="G122">
            <v>9.1632000000000005E-2</v>
          </cell>
        </row>
        <row r="123">
          <cell r="B123" t="str">
            <v>JBM Auto Ltd</v>
          </cell>
          <cell r="C123">
            <v>0</v>
          </cell>
          <cell r="D123">
            <v>1.256E-2</v>
          </cell>
          <cell r="E123">
            <v>-1.256E-2</v>
          </cell>
          <cell r="F123">
            <v>0</v>
          </cell>
          <cell r="G123">
            <v>1.2564000000000001E-2</v>
          </cell>
        </row>
        <row r="124">
          <cell r="B124" t="str">
            <v>JK Tyre &amp; Industries Ltd</v>
          </cell>
          <cell r="C124">
            <v>0</v>
          </cell>
          <cell r="D124">
            <v>3.0360000000000002E-2</v>
          </cell>
          <cell r="E124">
            <v>-3.0360000000000002E-2</v>
          </cell>
          <cell r="F124">
            <v>0</v>
          </cell>
          <cell r="G124">
            <v>3.0370999999999999E-2</v>
          </cell>
        </row>
        <row r="125">
          <cell r="B125" t="str">
            <v>Jubilant Foodworks Ltd</v>
          </cell>
          <cell r="C125">
            <v>0</v>
          </cell>
          <cell r="D125">
            <v>0.10878</v>
          </cell>
          <cell r="E125">
            <v>-0.10878</v>
          </cell>
          <cell r="F125">
            <v>0</v>
          </cell>
          <cell r="G125">
            <v>0.108818</v>
          </cell>
        </row>
        <row r="126">
          <cell r="B126" t="str">
            <v>K.P.R. Mill Ltd</v>
          </cell>
          <cell r="C126">
            <v>0</v>
          </cell>
          <cell r="D126">
            <v>5.4109999999999998E-2</v>
          </cell>
          <cell r="E126">
            <v>-5.4109999999999998E-2</v>
          </cell>
          <cell r="F126">
            <v>0</v>
          </cell>
          <cell r="G126">
            <v>5.4128999999999997E-2</v>
          </cell>
        </row>
        <row r="127">
          <cell r="B127" t="str">
            <v>Kalyan Jewellers India Ltd</v>
          </cell>
          <cell r="C127">
            <v>0</v>
          </cell>
          <cell r="D127">
            <v>9.2979999999999993E-2</v>
          </cell>
          <cell r="E127">
            <v>-9.2979999999999993E-2</v>
          </cell>
          <cell r="F127">
            <v>0</v>
          </cell>
          <cell r="G127">
            <v>9.3011999999999997E-2</v>
          </cell>
        </row>
        <row r="128">
          <cell r="B128" t="str">
            <v>Leela Palaces Hotels and Resorts Ltd</v>
          </cell>
          <cell r="C128">
            <v>0</v>
          </cell>
          <cell r="D128">
            <v>1.7389999999999999E-2</v>
          </cell>
          <cell r="E128">
            <v>-1.7389999999999999E-2</v>
          </cell>
          <cell r="F128">
            <v>0</v>
          </cell>
          <cell r="G128">
            <v>1.7395999999999998E-2</v>
          </cell>
        </row>
        <row r="129">
          <cell r="B129" t="str">
            <v>Lemon Tree Hotels Ltd</v>
          </cell>
          <cell r="C129">
            <v>0</v>
          </cell>
          <cell r="D129">
            <v>3.9390000000000001E-2</v>
          </cell>
          <cell r="E129">
            <v>-3.9390000000000001E-2</v>
          </cell>
          <cell r="F129">
            <v>0</v>
          </cell>
          <cell r="G129">
            <v>3.9404000000000002E-2</v>
          </cell>
        </row>
        <row r="130">
          <cell r="B130" t="str">
            <v>Mahindra &amp; Mahindra Ltd</v>
          </cell>
          <cell r="C130">
            <v>0</v>
          </cell>
          <cell r="D130">
            <v>1.6475500000000001</v>
          </cell>
          <cell r="E130">
            <v>-1.6475500000000001</v>
          </cell>
          <cell r="F130">
            <v>0</v>
          </cell>
          <cell r="G130">
            <v>1.6481239999999999</v>
          </cell>
        </row>
        <row r="131">
          <cell r="B131" t="str">
            <v>Maruti Suzuki India Ltd</v>
          </cell>
          <cell r="C131">
            <v>3.4678900000000001</v>
          </cell>
          <cell r="D131">
            <v>1.0900700000000001</v>
          </cell>
          <cell r="E131">
            <v>2.3778199999999998</v>
          </cell>
          <cell r="F131">
            <v>3.9948199999999998</v>
          </cell>
          <cell r="G131">
            <v>1.0904499999999999</v>
          </cell>
        </row>
        <row r="132">
          <cell r="B132" t="str">
            <v>Minda Corp Ltd</v>
          </cell>
          <cell r="C132">
            <v>0</v>
          </cell>
          <cell r="D132">
            <v>2.2919999999999999E-2</v>
          </cell>
          <cell r="E132">
            <v>-2.2919999999999999E-2</v>
          </cell>
          <cell r="F132">
            <v>0</v>
          </cell>
          <cell r="G132">
            <v>2.2928E-2</v>
          </cell>
        </row>
        <row r="133">
          <cell r="B133" t="str">
            <v>Motherson Sumi Wiring India Ltd</v>
          </cell>
          <cell r="C133">
            <v>0</v>
          </cell>
          <cell r="D133">
            <v>6.139E-2</v>
          </cell>
          <cell r="E133">
            <v>-6.139E-2</v>
          </cell>
          <cell r="F133">
            <v>0</v>
          </cell>
          <cell r="G133">
            <v>6.1411E-2</v>
          </cell>
        </row>
        <row r="134">
          <cell r="B134" t="str">
            <v>MRF Ltd</v>
          </cell>
          <cell r="C134">
            <v>0</v>
          </cell>
          <cell r="D134">
            <v>0.15678</v>
          </cell>
          <cell r="E134">
            <v>-0.15678</v>
          </cell>
          <cell r="F134">
            <v>0</v>
          </cell>
          <cell r="G134">
            <v>0.156835</v>
          </cell>
        </row>
        <row r="135">
          <cell r="B135" t="str">
            <v>Ola Electric Mobility Ltd</v>
          </cell>
          <cell r="C135">
            <v>0</v>
          </cell>
          <cell r="D135">
            <v>3.159E-2</v>
          </cell>
          <cell r="E135">
            <v>-3.159E-2</v>
          </cell>
          <cell r="F135">
            <v>0</v>
          </cell>
          <cell r="G135">
            <v>3.1600999999999997E-2</v>
          </cell>
        </row>
        <row r="136">
          <cell r="B136" t="str">
            <v>Page Industries Ltd</v>
          </cell>
          <cell r="C136">
            <v>0</v>
          </cell>
          <cell r="D136">
            <v>0.11278000000000001</v>
          </cell>
          <cell r="E136">
            <v>-0.11278000000000001</v>
          </cell>
          <cell r="F136">
            <v>0</v>
          </cell>
          <cell r="G136">
            <v>0.112819</v>
          </cell>
        </row>
        <row r="137">
          <cell r="B137" t="str">
            <v>Restaurant Brands Asia Ltd Ordinary Shares</v>
          </cell>
          <cell r="C137">
            <v>0.21951999999999999</v>
          </cell>
          <cell r="D137">
            <v>0</v>
          </cell>
          <cell r="E137">
            <v>0.21951999999999999</v>
          </cell>
          <cell r="F137">
            <v>0.25287500000000002</v>
          </cell>
          <cell r="G137">
            <v>0</v>
          </cell>
        </row>
        <row r="138">
          <cell r="B138" t="str">
            <v>Samvardhana Motherson International Ltd</v>
          </cell>
          <cell r="C138">
            <v>0</v>
          </cell>
          <cell r="D138">
            <v>0.26504</v>
          </cell>
          <cell r="E138">
            <v>-0.26504</v>
          </cell>
          <cell r="F138">
            <v>0</v>
          </cell>
          <cell r="G138">
            <v>0.26513199999999998</v>
          </cell>
        </row>
        <row r="139">
          <cell r="B139" t="str">
            <v>Sapphire Foods India Ltd</v>
          </cell>
          <cell r="C139">
            <v>0.53388000000000002</v>
          </cell>
          <cell r="D139">
            <v>3.0259999999999999E-2</v>
          </cell>
          <cell r="E139">
            <v>0.50361999999999996</v>
          </cell>
          <cell r="F139">
            <v>0.61500100000000002</v>
          </cell>
          <cell r="G139">
            <v>3.0270999999999999E-2</v>
          </cell>
        </row>
        <row r="140">
          <cell r="B140" t="str">
            <v>Schaeffler India Ltd</v>
          </cell>
          <cell r="C140">
            <v>0</v>
          </cell>
          <cell r="D140">
            <v>7.7590000000000006E-2</v>
          </cell>
          <cell r="E140">
            <v>-7.7590000000000006E-2</v>
          </cell>
          <cell r="F140">
            <v>0</v>
          </cell>
          <cell r="G140">
            <v>7.7617000000000005E-2</v>
          </cell>
        </row>
        <row r="141">
          <cell r="B141" t="str">
            <v>Sona BLW Precision Forgings Ltd</v>
          </cell>
          <cell r="C141">
            <v>0</v>
          </cell>
          <cell r="D141">
            <v>0.10693</v>
          </cell>
          <cell r="E141">
            <v>-0.10693</v>
          </cell>
          <cell r="F141">
            <v>0</v>
          </cell>
          <cell r="G141">
            <v>0.10696700000000001</v>
          </cell>
        </row>
        <row r="142">
          <cell r="B142" t="str">
            <v>Sundaram Fasteners Ltd</v>
          </cell>
          <cell r="C142">
            <v>0.33001000000000003</v>
          </cell>
          <cell r="D142">
            <v>5.1389999999999998E-2</v>
          </cell>
          <cell r="E142">
            <v>0.27861999999999998</v>
          </cell>
          <cell r="F142">
            <v>0.38015399999999999</v>
          </cell>
          <cell r="G142">
            <v>5.1408000000000002E-2</v>
          </cell>
        </row>
        <row r="143">
          <cell r="B143" t="str">
            <v>Swiggy Ltd</v>
          </cell>
          <cell r="C143">
            <v>0.36681000000000002</v>
          </cell>
          <cell r="D143">
            <v>0.25689000000000001</v>
          </cell>
          <cell r="E143">
            <v>0.10992</v>
          </cell>
          <cell r="F143">
            <v>0.422545</v>
          </cell>
          <cell r="G143">
            <v>0.25697900000000001</v>
          </cell>
        </row>
        <row r="144">
          <cell r="B144" t="str">
            <v>Tata Motors Passenger Vehicles Ltd</v>
          </cell>
          <cell r="C144">
            <v>0</v>
          </cell>
          <cell r="D144">
            <v>0.38223000000000001</v>
          </cell>
          <cell r="E144">
            <v>-0.38223000000000001</v>
          </cell>
          <cell r="F144">
            <v>0</v>
          </cell>
          <cell r="G144">
            <v>0.38236300000000001</v>
          </cell>
        </row>
        <row r="145">
          <cell r="B145" t="str">
            <v>TBO Tek Ltd</v>
          </cell>
          <cell r="C145">
            <v>0</v>
          </cell>
          <cell r="D145">
            <v>2.7539999999999999E-2</v>
          </cell>
          <cell r="E145">
            <v>-2.7539999999999999E-2</v>
          </cell>
          <cell r="F145">
            <v>0</v>
          </cell>
          <cell r="G145">
            <v>2.7550000000000002E-2</v>
          </cell>
        </row>
        <row r="146">
          <cell r="B146" t="str">
            <v>Titan Co Ltd</v>
          </cell>
          <cell r="C146">
            <v>0</v>
          </cell>
          <cell r="D146">
            <v>0.83216000000000001</v>
          </cell>
          <cell r="E146">
            <v>-0.83216000000000001</v>
          </cell>
          <cell r="F146">
            <v>0</v>
          </cell>
          <cell r="G146">
            <v>0.83245000000000002</v>
          </cell>
        </row>
        <row r="147">
          <cell r="B147" t="str">
            <v>Trent Ltd</v>
          </cell>
          <cell r="C147">
            <v>0</v>
          </cell>
          <cell r="D147">
            <v>0.47249000000000002</v>
          </cell>
          <cell r="E147">
            <v>-0.47249000000000002</v>
          </cell>
          <cell r="F147">
            <v>0</v>
          </cell>
          <cell r="G147">
            <v>0.47265499999999999</v>
          </cell>
        </row>
        <row r="148">
          <cell r="B148" t="str">
            <v>Trident Ltd</v>
          </cell>
          <cell r="C148">
            <v>0</v>
          </cell>
          <cell r="D148">
            <v>1.6619999999999999E-2</v>
          </cell>
          <cell r="E148">
            <v>-1.6619999999999999E-2</v>
          </cell>
          <cell r="F148">
            <v>0</v>
          </cell>
          <cell r="G148">
            <v>1.6625999999999998E-2</v>
          </cell>
        </row>
        <row r="149">
          <cell r="B149" t="str">
            <v>TVS Motor Co Ltd</v>
          </cell>
          <cell r="C149">
            <v>0</v>
          </cell>
          <cell r="D149">
            <v>0.43458999999999998</v>
          </cell>
          <cell r="E149">
            <v>-0.43458999999999998</v>
          </cell>
          <cell r="F149">
            <v>0</v>
          </cell>
          <cell r="G149">
            <v>0.43474099999999999</v>
          </cell>
        </row>
        <row r="150">
          <cell r="B150" t="str">
            <v>UNO Minda Ltd</v>
          </cell>
          <cell r="C150">
            <v>0</v>
          </cell>
          <cell r="D150">
            <v>0.11601</v>
          </cell>
          <cell r="E150">
            <v>-0.11601</v>
          </cell>
          <cell r="F150">
            <v>0</v>
          </cell>
          <cell r="G150">
            <v>0.11605</v>
          </cell>
        </row>
        <row r="151">
          <cell r="B151" t="str">
            <v>Vardhman Textiles Ltd</v>
          </cell>
          <cell r="C151">
            <v>0</v>
          </cell>
          <cell r="D151">
            <v>2.231E-2</v>
          </cell>
          <cell r="E151">
            <v>-2.231E-2</v>
          </cell>
          <cell r="F151">
            <v>0</v>
          </cell>
          <cell r="G151">
            <v>2.2318000000000001E-2</v>
          </cell>
        </row>
        <row r="152">
          <cell r="B152" t="str">
            <v>Varroc Engineering Ltd Ordinary Shares</v>
          </cell>
          <cell r="C152">
            <v>0.61331999999999998</v>
          </cell>
          <cell r="D152">
            <v>0</v>
          </cell>
          <cell r="E152">
            <v>0.61331999999999998</v>
          </cell>
          <cell r="F152">
            <v>0.706511</v>
          </cell>
          <cell r="G152">
            <v>0</v>
          </cell>
        </row>
        <row r="153">
          <cell r="B153" t="str">
            <v>Vedant Fashions Ltd</v>
          </cell>
          <cell r="C153">
            <v>0</v>
          </cell>
          <cell r="D153">
            <v>1.7690000000000001E-2</v>
          </cell>
          <cell r="E153">
            <v>-1.7690000000000001E-2</v>
          </cell>
          <cell r="F153">
            <v>0</v>
          </cell>
          <cell r="G153">
            <v>1.7696E-2</v>
          </cell>
        </row>
        <row r="154">
          <cell r="B154" t="str">
            <v>Ventive Hospitality Ltd</v>
          </cell>
          <cell r="C154">
            <v>0</v>
          </cell>
          <cell r="D154">
            <v>9.7999999999999997E-3</v>
          </cell>
          <cell r="E154">
            <v>-9.7999999999999997E-3</v>
          </cell>
          <cell r="F154">
            <v>0</v>
          </cell>
          <cell r="G154">
            <v>9.8029999999999992E-3</v>
          </cell>
        </row>
        <row r="155">
          <cell r="B155" t="str">
            <v>Vishal Mega Mart Ltd</v>
          </cell>
          <cell r="C155">
            <v>0</v>
          </cell>
          <cell r="D155">
            <v>0.14441999999999999</v>
          </cell>
          <cell r="E155">
            <v>-0.14441999999999999</v>
          </cell>
          <cell r="F155">
            <v>0</v>
          </cell>
          <cell r="G155">
            <v>0.14446999999999999</v>
          </cell>
        </row>
        <row r="156">
          <cell r="B156" t="str">
            <v>Voltas Ltd</v>
          </cell>
          <cell r="C156">
            <v>0</v>
          </cell>
          <cell r="D156">
            <v>0.15422</v>
          </cell>
          <cell r="E156">
            <v>-0.15422</v>
          </cell>
          <cell r="F156">
            <v>0</v>
          </cell>
          <cell r="G156">
            <v>0.15427399999999999</v>
          </cell>
        </row>
        <row r="157">
          <cell r="B157" t="str">
            <v>Welspun Living Ltd</v>
          </cell>
          <cell r="C157">
            <v>0</v>
          </cell>
          <cell r="D157">
            <v>2.0670000000000001E-2</v>
          </cell>
          <cell r="E157">
            <v>-2.0670000000000001E-2</v>
          </cell>
          <cell r="F157">
            <v>0</v>
          </cell>
          <cell r="G157">
            <v>2.0677000000000001E-2</v>
          </cell>
        </row>
        <row r="158">
          <cell r="B158" t="str">
            <v>Whirlpool of India Ltd</v>
          </cell>
          <cell r="C158">
            <v>0</v>
          </cell>
          <cell r="D158">
            <v>2.7689999999999999E-2</v>
          </cell>
          <cell r="E158">
            <v>-2.7689999999999999E-2</v>
          </cell>
          <cell r="F158">
            <v>0</v>
          </cell>
          <cell r="G158">
            <v>2.7699999999999999E-2</v>
          </cell>
        </row>
        <row r="159">
          <cell r="B159" t="str">
            <v>ZF Commercial Vehicle Control Systems India Ltd</v>
          </cell>
          <cell r="C159">
            <v>0</v>
          </cell>
          <cell r="D159">
            <v>5.57E-2</v>
          </cell>
          <cell r="E159">
            <v>-5.57E-2</v>
          </cell>
          <cell r="F159">
            <v>0</v>
          </cell>
          <cell r="G159">
            <v>5.5718999999999998E-2</v>
          </cell>
        </row>
        <row r="160">
          <cell r="C160">
            <v>0.85982000000000003</v>
          </cell>
          <cell r="D160">
            <v>6.4352</v>
          </cell>
          <cell r="E160">
            <v>-5.57538</v>
          </cell>
          <cell r="F160">
            <v>0.99046599999999996</v>
          </cell>
          <cell r="G160">
            <v>6.4374409999999997</v>
          </cell>
        </row>
        <row r="161">
          <cell r="B161" t="str">
            <v>Avenue Supermarts Ltd</v>
          </cell>
          <cell r="C161">
            <v>0</v>
          </cell>
          <cell r="D161">
            <v>0.2772</v>
          </cell>
          <cell r="E161">
            <v>-0.2772</v>
          </cell>
          <cell r="F161">
            <v>0</v>
          </cell>
          <cell r="G161">
            <v>0.27729700000000002</v>
          </cell>
        </row>
        <row r="162">
          <cell r="B162" t="str">
            <v>AWL Agri Business Ltd</v>
          </cell>
          <cell r="C162">
            <v>0</v>
          </cell>
          <cell r="D162">
            <v>5.4980000000000001E-2</v>
          </cell>
          <cell r="E162">
            <v>-5.4980000000000001E-2</v>
          </cell>
          <cell r="F162">
            <v>0</v>
          </cell>
          <cell r="G162">
            <v>5.4998999999999999E-2</v>
          </cell>
        </row>
        <row r="163">
          <cell r="B163" t="str">
            <v>Balrampur Chini Mills Ltd</v>
          </cell>
          <cell r="C163">
            <v>0</v>
          </cell>
          <cell r="D163">
            <v>2.5389999999999999E-2</v>
          </cell>
          <cell r="E163">
            <v>-2.5389999999999999E-2</v>
          </cell>
          <cell r="F163">
            <v>0</v>
          </cell>
          <cell r="G163">
            <v>2.5399000000000001E-2</v>
          </cell>
        </row>
        <row r="164">
          <cell r="B164" t="str">
            <v>Bikaji Foods International Ltd</v>
          </cell>
          <cell r="C164">
            <v>0</v>
          </cell>
          <cell r="D164">
            <v>2.4410000000000001E-2</v>
          </cell>
          <cell r="E164">
            <v>-2.4410000000000001E-2</v>
          </cell>
          <cell r="F164">
            <v>0</v>
          </cell>
          <cell r="G164">
            <v>2.4419E-2</v>
          </cell>
        </row>
        <row r="165">
          <cell r="B165" t="str">
            <v>Bombay Burmah Trading Corp Ltd</v>
          </cell>
          <cell r="C165">
            <v>0</v>
          </cell>
          <cell r="D165">
            <v>1.626E-2</v>
          </cell>
          <cell r="E165">
            <v>-1.626E-2</v>
          </cell>
          <cell r="F165">
            <v>0</v>
          </cell>
          <cell r="G165">
            <v>1.6265999999999999E-2</v>
          </cell>
        </row>
        <row r="166">
          <cell r="B166" t="str">
            <v>Britannia Industries Ltd</v>
          </cell>
          <cell r="C166">
            <v>0</v>
          </cell>
          <cell r="D166">
            <v>0.35382000000000002</v>
          </cell>
          <cell r="E166">
            <v>-0.35382000000000002</v>
          </cell>
          <cell r="F166">
            <v>0</v>
          </cell>
          <cell r="G166">
            <v>0.35394300000000001</v>
          </cell>
        </row>
        <row r="167">
          <cell r="B167" t="str">
            <v>CCL Products (India) Ltd</v>
          </cell>
          <cell r="C167">
            <v>0</v>
          </cell>
          <cell r="D167">
            <v>3.3180000000000001E-2</v>
          </cell>
          <cell r="E167">
            <v>-3.3180000000000001E-2</v>
          </cell>
          <cell r="F167">
            <v>0</v>
          </cell>
          <cell r="G167">
            <v>3.3191999999999999E-2</v>
          </cell>
        </row>
        <row r="168">
          <cell r="B168" t="str">
            <v>Colgate-Palmolive (India) Ltd</v>
          </cell>
          <cell r="C168">
            <v>0</v>
          </cell>
          <cell r="D168">
            <v>0.13605999999999999</v>
          </cell>
          <cell r="E168">
            <v>-0.13605999999999999</v>
          </cell>
          <cell r="F168">
            <v>0</v>
          </cell>
          <cell r="G168">
            <v>0.13610700000000001</v>
          </cell>
        </row>
        <row r="169">
          <cell r="B169" t="str">
            <v>Dabur India Ltd</v>
          </cell>
          <cell r="C169">
            <v>0</v>
          </cell>
          <cell r="D169">
            <v>0.14760000000000001</v>
          </cell>
          <cell r="E169">
            <v>-0.14760000000000001</v>
          </cell>
          <cell r="F169">
            <v>0</v>
          </cell>
          <cell r="G169">
            <v>0.147651</v>
          </cell>
        </row>
        <row r="170">
          <cell r="B170" t="str">
            <v>Emami Ltd</v>
          </cell>
          <cell r="C170">
            <v>0</v>
          </cell>
          <cell r="D170">
            <v>5.1799999999999999E-2</v>
          </cell>
          <cell r="E170">
            <v>-5.1799999999999999E-2</v>
          </cell>
          <cell r="F170">
            <v>0</v>
          </cell>
          <cell r="G170">
            <v>5.1818000000000003E-2</v>
          </cell>
        </row>
        <row r="171">
          <cell r="B171" t="str">
            <v>Gillette India Ltd</v>
          </cell>
          <cell r="C171">
            <v>0</v>
          </cell>
          <cell r="D171">
            <v>3.39E-2</v>
          </cell>
          <cell r="E171">
            <v>-3.39E-2</v>
          </cell>
          <cell r="F171">
            <v>0</v>
          </cell>
          <cell r="G171">
            <v>3.3911999999999998E-2</v>
          </cell>
        </row>
        <row r="172">
          <cell r="B172" t="str">
            <v>Godfrey Phillips India Ltd</v>
          </cell>
          <cell r="C172">
            <v>0</v>
          </cell>
          <cell r="D172">
            <v>5.595E-2</v>
          </cell>
          <cell r="E172">
            <v>-5.595E-2</v>
          </cell>
          <cell r="F172">
            <v>0</v>
          </cell>
          <cell r="G172">
            <v>5.5968999999999998E-2</v>
          </cell>
        </row>
        <row r="173">
          <cell r="B173" t="str">
            <v>Godrej Agrovet Ltd Ordinary Shares</v>
          </cell>
          <cell r="C173">
            <v>0</v>
          </cell>
          <cell r="D173">
            <v>1.3690000000000001E-2</v>
          </cell>
          <cell r="E173">
            <v>-1.3690000000000001E-2</v>
          </cell>
          <cell r="F173">
            <v>0</v>
          </cell>
          <cell r="G173">
            <v>1.3695000000000001E-2</v>
          </cell>
        </row>
        <row r="174">
          <cell r="B174" t="str">
            <v>Godrej Consumer Products Ltd</v>
          </cell>
          <cell r="C174">
            <v>0</v>
          </cell>
          <cell r="D174">
            <v>0.24468000000000001</v>
          </cell>
          <cell r="E174">
            <v>-0.24468000000000001</v>
          </cell>
          <cell r="F174">
            <v>0</v>
          </cell>
          <cell r="G174">
            <v>0.24476500000000001</v>
          </cell>
        </row>
        <row r="175">
          <cell r="B175" t="str">
            <v>Hindustan Unilever Ltd</v>
          </cell>
          <cell r="C175">
            <v>0</v>
          </cell>
          <cell r="D175">
            <v>1.0226299999999999</v>
          </cell>
          <cell r="E175">
            <v>-1.0226299999999999</v>
          </cell>
          <cell r="F175">
            <v>0</v>
          </cell>
          <cell r="G175">
            <v>1.022986</v>
          </cell>
        </row>
        <row r="176">
          <cell r="B176" t="str">
            <v>Honasa Consumer Ltd</v>
          </cell>
          <cell r="C176">
            <v>0</v>
          </cell>
          <cell r="D176">
            <v>1.9640000000000001E-2</v>
          </cell>
          <cell r="E176">
            <v>-1.9640000000000001E-2</v>
          </cell>
          <cell r="F176">
            <v>0</v>
          </cell>
          <cell r="G176">
            <v>1.9647000000000001E-2</v>
          </cell>
        </row>
        <row r="177">
          <cell r="B177" t="str">
            <v>ITC Ltd</v>
          </cell>
          <cell r="C177">
            <v>0</v>
          </cell>
          <cell r="D177">
            <v>1.9324399999999999</v>
          </cell>
          <cell r="E177">
            <v>-1.9324399999999999</v>
          </cell>
          <cell r="F177">
            <v>0</v>
          </cell>
          <cell r="G177">
            <v>1.9331130000000001</v>
          </cell>
        </row>
        <row r="178">
          <cell r="B178" t="str">
            <v>Jyothy Labs Ltd</v>
          </cell>
          <cell r="C178">
            <v>0</v>
          </cell>
          <cell r="D178">
            <v>1.908E-2</v>
          </cell>
          <cell r="E178">
            <v>-1.908E-2</v>
          </cell>
          <cell r="F178">
            <v>0</v>
          </cell>
          <cell r="G178">
            <v>1.9087E-2</v>
          </cell>
        </row>
        <row r="179">
          <cell r="B179" t="str">
            <v>LT Foods Ltd</v>
          </cell>
          <cell r="C179">
            <v>0</v>
          </cell>
          <cell r="D179">
            <v>2.6669999999999999E-2</v>
          </cell>
          <cell r="E179">
            <v>-2.6669999999999999E-2</v>
          </cell>
          <cell r="F179">
            <v>0</v>
          </cell>
          <cell r="G179">
            <v>2.6679000000000001E-2</v>
          </cell>
        </row>
        <row r="180">
          <cell r="B180" t="str">
            <v>Marico Ltd</v>
          </cell>
          <cell r="C180">
            <v>0</v>
          </cell>
          <cell r="D180">
            <v>0.19739999999999999</v>
          </cell>
          <cell r="E180">
            <v>-0.19739999999999999</v>
          </cell>
          <cell r="F180">
            <v>0</v>
          </cell>
          <cell r="G180">
            <v>0.19746900000000001</v>
          </cell>
        </row>
        <row r="181">
          <cell r="B181" t="str">
            <v>Nestle India Ltd</v>
          </cell>
          <cell r="C181">
            <v>0</v>
          </cell>
          <cell r="D181">
            <v>0.45946999999999999</v>
          </cell>
          <cell r="E181">
            <v>-0.45946999999999999</v>
          </cell>
          <cell r="F181">
            <v>0</v>
          </cell>
          <cell r="G181">
            <v>0.45962999999999998</v>
          </cell>
        </row>
        <row r="182">
          <cell r="B182" t="str">
            <v>Patanjali Foods Ltd</v>
          </cell>
          <cell r="C182">
            <v>0</v>
          </cell>
          <cell r="D182">
            <v>9.2310000000000003E-2</v>
          </cell>
          <cell r="E182">
            <v>-9.2310000000000003E-2</v>
          </cell>
          <cell r="F182">
            <v>0</v>
          </cell>
          <cell r="G182">
            <v>9.2341999999999994E-2</v>
          </cell>
        </row>
        <row r="183">
          <cell r="B183" t="str">
            <v>Procter &amp; Gamble Hygiene and Health Care Ltd</v>
          </cell>
          <cell r="C183">
            <v>0</v>
          </cell>
          <cell r="D183">
            <v>6.1179999999999998E-2</v>
          </cell>
          <cell r="E183">
            <v>-6.1179999999999998E-2</v>
          </cell>
          <cell r="F183">
            <v>0</v>
          </cell>
          <cell r="G183">
            <v>6.1200999999999998E-2</v>
          </cell>
        </row>
        <row r="184">
          <cell r="B184" t="str">
            <v>Radico Khaitan Ltd</v>
          </cell>
          <cell r="C184">
            <v>0</v>
          </cell>
          <cell r="D184">
            <v>0.12856999999999999</v>
          </cell>
          <cell r="E184">
            <v>-0.12856999999999999</v>
          </cell>
          <cell r="F184">
            <v>0</v>
          </cell>
          <cell r="G184">
            <v>0.12861500000000001</v>
          </cell>
        </row>
        <row r="185">
          <cell r="B185" t="str">
            <v>Tata Consumer Products Ltd</v>
          </cell>
          <cell r="C185">
            <v>0</v>
          </cell>
          <cell r="D185">
            <v>0.38618000000000002</v>
          </cell>
          <cell r="E185">
            <v>-0.38618000000000002</v>
          </cell>
          <cell r="F185">
            <v>0</v>
          </cell>
          <cell r="G185">
            <v>0.38631399999999999</v>
          </cell>
        </row>
        <row r="186">
          <cell r="B186" t="str">
            <v>Triveni Engineering &amp; Industries Ltd</v>
          </cell>
          <cell r="C186">
            <v>0</v>
          </cell>
          <cell r="D186">
            <v>1.6619999999999999E-2</v>
          </cell>
          <cell r="E186">
            <v>-1.6619999999999999E-2</v>
          </cell>
          <cell r="F186">
            <v>0</v>
          </cell>
          <cell r="G186">
            <v>1.6625999999999998E-2</v>
          </cell>
        </row>
        <row r="187">
          <cell r="B187" t="str">
            <v>United Breweries Ltd</v>
          </cell>
          <cell r="C187">
            <v>0</v>
          </cell>
          <cell r="D187">
            <v>5.8310000000000001E-2</v>
          </cell>
          <cell r="E187">
            <v>-5.8310000000000001E-2</v>
          </cell>
          <cell r="F187">
            <v>0</v>
          </cell>
          <cell r="G187">
            <v>5.833E-2</v>
          </cell>
        </row>
        <row r="188">
          <cell r="B188" t="str">
            <v>United Spirits Ltd</v>
          </cell>
          <cell r="C188">
            <v>0.85982000000000003</v>
          </cell>
          <cell r="D188">
            <v>0.21221999999999999</v>
          </cell>
          <cell r="E188">
            <v>0.64759999999999995</v>
          </cell>
          <cell r="F188">
            <v>0.99046599999999996</v>
          </cell>
          <cell r="G188">
            <v>0.21229400000000001</v>
          </cell>
        </row>
        <row r="189">
          <cell r="B189" t="str">
            <v>Varun Beverages Ltd</v>
          </cell>
          <cell r="C189">
            <v>0</v>
          </cell>
          <cell r="D189">
            <v>0.33356000000000002</v>
          </cell>
          <cell r="E189">
            <v>-0.33356000000000002</v>
          </cell>
          <cell r="F189">
            <v>0</v>
          </cell>
          <cell r="G189">
            <v>0.33367599999999997</v>
          </cell>
        </row>
        <row r="190">
          <cell r="C190">
            <v>1.37296</v>
          </cell>
          <cell r="D190">
            <v>7.7878699999999998</v>
          </cell>
          <cell r="E190">
            <v>-6.4149099999999999</v>
          </cell>
          <cell r="F190">
            <v>1.581575</v>
          </cell>
          <cell r="G190">
            <v>7.7905819999999997</v>
          </cell>
        </row>
        <row r="191">
          <cell r="B191" t="str">
            <v>Adani Enterprises Ltd</v>
          </cell>
          <cell r="C191">
            <v>0</v>
          </cell>
          <cell r="D191">
            <v>0.29027999999999998</v>
          </cell>
          <cell r="E191">
            <v>-0.29027999999999998</v>
          </cell>
          <cell r="F191">
            <v>0</v>
          </cell>
          <cell r="G191">
            <v>0.290381</v>
          </cell>
        </row>
        <row r="192">
          <cell r="B192" t="str">
            <v>Aegis Logistics Ltd</v>
          </cell>
          <cell r="C192">
            <v>0</v>
          </cell>
          <cell r="D192">
            <v>4.487E-2</v>
          </cell>
          <cell r="E192">
            <v>-4.487E-2</v>
          </cell>
          <cell r="F192">
            <v>0</v>
          </cell>
          <cell r="G192">
            <v>4.4886000000000002E-2</v>
          </cell>
        </row>
        <row r="193">
          <cell r="B193" t="str">
            <v>Aegis Vopak Terminals Ltd</v>
          </cell>
          <cell r="C193">
            <v>0</v>
          </cell>
          <cell r="D193">
            <v>1.7330000000000002E-2</v>
          </cell>
          <cell r="E193">
            <v>-1.7330000000000002E-2</v>
          </cell>
          <cell r="F193">
            <v>0</v>
          </cell>
          <cell r="G193">
            <v>1.7336000000000001E-2</v>
          </cell>
        </row>
        <row r="194">
          <cell r="B194" t="str">
            <v>Bharat Petroleum Corp Ltd</v>
          </cell>
          <cell r="C194">
            <v>0</v>
          </cell>
          <cell r="D194">
            <v>0.37037999999999999</v>
          </cell>
          <cell r="E194">
            <v>-0.37037999999999999</v>
          </cell>
          <cell r="F194">
            <v>0</v>
          </cell>
          <cell r="G194">
            <v>0.37050899999999998</v>
          </cell>
        </row>
        <row r="195">
          <cell r="B195" t="str">
            <v>Castrol India Ltd</v>
          </cell>
          <cell r="C195">
            <v>0</v>
          </cell>
          <cell r="D195">
            <v>4.6260000000000003E-2</v>
          </cell>
          <cell r="E195">
            <v>-4.6260000000000003E-2</v>
          </cell>
          <cell r="F195">
            <v>0</v>
          </cell>
          <cell r="G195">
            <v>4.6275999999999998E-2</v>
          </cell>
        </row>
        <row r="196">
          <cell r="B196" t="str">
            <v>Chennai Petroleum Corp Ltd</v>
          </cell>
          <cell r="C196">
            <v>0</v>
          </cell>
          <cell r="D196">
            <v>2.0049999999999998E-2</v>
          </cell>
          <cell r="E196">
            <v>-2.0049999999999998E-2</v>
          </cell>
          <cell r="F196">
            <v>0</v>
          </cell>
          <cell r="G196">
            <v>2.0056999999999998E-2</v>
          </cell>
        </row>
        <row r="197">
          <cell r="B197" t="str">
            <v>Coal India Ltd</v>
          </cell>
          <cell r="C197">
            <v>0</v>
          </cell>
          <cell r="D197">
            <v>0.45079999999999998</v>
          </cell>
          <cell r="E197">
            <v>-0.45079999999999998</v>
          </cell>
          <cell r="F197">
            <v>0</v>
          </cell>
          <cell r="G197">
            <v>0.450957</v>
          </cell>
        </row>
        <row r="198">
          <cell r="B198" t="str">
            <v>Gujarat Mineral Development Corp Ltd</v>
          </cell>
          <cell r="C198">
            <v>0</v>
          </cell>
          <cell r="D198">
            <v>2.4670000000000001E-2</v>
          </cell>
          <cell r="E198">
            <v>-2.4670000000000001E-2</v>
          </cell>
          <cell r="F198">
            <v>0</v>
          </cell>
          <cell r="G198">
            <v>2.4679E-2</v>
          </cell>
        </row>
        <row r="199">
          <cell r="B199" t="str">
            <v>Hindustan Petroleum Corp Ltd</v>
          </cell>
          <cell r="C199">
            <v>0</v>
          </cell>
          <cell r="D199">
            <v>0.23848</v>
          </cell>
          <cell r="E199">
            <v>-0.23848</v>
          </cell>
          <cell r="F199">
            <v>0</v>
          </cell>
          <cell r="G199">
            <v>0.238563</v>
          </cell>
        </row>
        <row r="200">
          <cell r="B200" t="str">
            <v>Indian Oil Corp Ltd</v>
          </cell>
          <cell r="C200">
            <v>0</v>
          </cell>
          <cell r="D200">
            <v>0.30951000000000001</v>
          </cell>
          <cell r="E200">
            <v>-0.30951000000000001</v>
          </cell>
          <cell r="F200">
            <v>0</v>
          </cell>
          <cell r="G200">
            <v>0.309618</v>
          </cell>
        </row>
        <row r="201">
          <cell r="B201" t="str">
            <v>Mangalore Refinery and Petrochemicals Ltd</v>
          </cell>
          <cell r="C201">
            <v>0</v>
          </cell>
          <cell r="D201">
            <v>1.349E-2</v>
          </cell>
          <cell r="E201">
            <v>-1.349E-2</v>
          </cell>
          <cell r="F201">
            <v>0</v>
          </cell>
          <cell r="G201">
            <v>1.3495E-2</v>
          </cell>
        </row>
        <row r="202">
          <cell r="B202" t="str">
            <v>Oil &amp; Natural Gas Corp Ltd</v>
          </cell>
          <cell r="C202">
            <v>1.37296</v>
          </cell>
          <cell r="D202">
            <v>0.46460000000000001</v>
          </cell>
          <cell r="E202">
            <v>0.90835999999999995</v>
          </cell>
          <cell r="F202">
            <v>1.581575</v>
          </cell>
          <cell r="G202">
            <v>0.46476200000000001</v>
          </cell>
        </row>
        <row r="203">
          <cell r="B203" t="str">
            <v>Oil India Ltd</v>
          </cell>
          <cell r="C203">
            <v>0</v>
          </cell>
          <cell r="D203">
            <v>0.11519</v>
          </cell>
          <cell r="E203">
            <v>-0.11519</v>
          </cell>
          <cell r="F203">
            <v>0</v>
          </cell>
          <cell r="G203">
            <v>0.11523</v>
          </cell>
        </row>
        <row r="204">
          <cell r="B204" t="str">
            <v>Petronet LNG Ltd</v>
          </cell>
          <cell r="C204">
            <v>0</v>
          </cell>
          <cell r="D204">
            <v>0.10596</v>
          </cell>
          <cell r="E204">
            <v>-0.10596</v>
          </cell>
          <cell r="F204">
            <v>0</v>
          </cell>
          <cell r="G204">
            <v>0.10599699999999999</v>
          </cell>
        </row>
        <row r="205">
          <cell r="B205" t="str">
            <v>Reliance Industries Ltd</v>
          </cell>
          <cell r="C205">
            <v>0</v>
          </cell>
          <cell r="D205">
            <v>5.2759999999999998</v>
          </cell>
          <cell r="E205">
            <v>-5.2759999999999998</v>
          </cell>
          <cell r="F205">
            <v>0</v>
          </cell>
          <cell r="G205">
            <v>5.2778369999999999</v>
          </cell>
        </row>
        <row r="206">
          <cell r="C206">
            <v>38.956670000000003</v>
          </cell>
          <cell r="D206">
            <v>31.15662</v>
          </cell>
          <cell r="E206">
            <v>7.8000499999999997</v>
          </cell>
          <cell r="F206">
            <v>44.875962000000001</v>
          </cell>
          <cell r="G206">
            <v>31.167469000000001</v>
          </cell>
        </row>
        <row r="207">
          <cell r="B207" t="str">
            <v>360 One Wam Ltd Ordinary Shares</v>
          </cell>
          <cell r="C207">
            <v>0</v>
          </cell>
          <cell r="D207">
            <v>0.15051999999999999</v>
          </cell>
          <cell r="E207">
            <v>-0.15051999999999999</v>
          </cell>
          <cell r="F207">
            <v>0</v>
          </cell>
          <cell r="G207">
            <v>0.15057200000000001</v>
          </cell>
        </row>
        <row r="208">
          <cell r="B208" t="str">
            <v>Aadhar Housing Finance Ltd</v>
          </cell>
          <cell r="C208">
            <v>0</v>
          </cell>
          <cell r="D208">
            <v>2.5690000000000001E-2</v>
          </cell>
          <cell r="E208">
            <v>-2.5690000000000001E-2</v>
          </cell>
          <cell r="F208">
            <v>0</v>
          </cell>
          <cell r="G208">
            <v>2.5699E-2</v>
          </cell>
        </row>
        <row r="209">
          <cell r="B209" t="str">
            <v>AAVAS Financiers Ltd</v>
          </cell>
          <cell r="C209">
            <v>0</v>
          </cell>
          <cell r="D209">
            <v>2.8979999999999999E-2</v>
          </cell>
          <cell r="E209">
            <v>-2.8979999999999999E-2</v>
          </cell>
          <cell r="F209">
            <v>0</v>
          </cell>
          <cell r="G209">
            <v>2.8989999999999998E-2</v>
          </cell>
        </row>
        <row r="210">
          <cell r="B210" t="str">
            <v>Aditya Birla Capital Ltd</v>
          </cell>
          <cell r="C210">
            <v>0</v>
          </cell>
          <cell r="D210">
            <v>0.13652</v>
          </cell>
          <cell r="E210">
            <v>-0.13652</v>
          </cell>
          <cell r="F210">
            <v>0</v>
          </cell>
          <cell r="G210">
            <v>0.13656799999999999</v>
          </cell>
        </row>
        <row r="211">
          <cell r="B211" t="str">
            <v>Aditya Birla Sun Life AMC Ltd</v>
          </cell>
          <cell r="C211">
            <v>0</v>
          </cell>
          <cell r="D211">
            <v>2.913E-2</v>
          </cell>
          <cell r="E211">
            <v>-2.913E-2</v>
          </cell>
          <cell r="F211">
            <v>0</v>
          </cell>
          <cell r="G211">
            <v>2.9139999999999999E-2</v>
          </cell>
        </row>
        <row r="212">
          <cell r="B212" t="str">
            <v>Anand Rathi Wealth Ltd</v>
          </cell>
          <cell r="C212">
            <v>0</v>
          </cell>
          <cell r="D212">
            <v>6.59E-2</v>
          </cell>
          <cell r="E212">
            <v>-6.59E-2</v>
          </cell>
          <cell r="F212">
            <v>0</v>
          </cell>
          <cell r="G212">
            <v>6.5922999999999995E-2</v>
          </cell>
        </row>
        <row r="213">
          <cell r="B213" t="str">
            <v>Angel One Ltd Ordinary Shares</v>
          </cell>
          <cell r="C213">
            <v>0</v>
          </cell>
          <cell r="D213">
            <v>7.5130000000000002E-2</v>
          </cell>
          <cell r="E213">
            <v>-7.5130000000000002E-2</v>
          </cell>
          <cell r="F213">
            <v>0</v>
          </cell>
          <cell r="G213">
            <v>7.5156000000000001E-2</v>
          </cell>
        </row>
        <row r="214">
          <cell r="B214" t="str">
            <v>Aptus Value Housing Finance India Ltd</v>
          </cell>
          <cell r="C214">
            <v>0</v>
          </cell>
          <cell r="D214">
            <v>4.9180000000000001E-2</v>
          </cell>
          <cell r="E214">
            <v>-4.9180000000000001E-2</v>
          </cell>
          <cell r="F214">
            <v>0</v>
          </cell>
          <cell r="G214">
            <v>4.9196999999999998E-2</v>
          </cell>
        </row>
        <row r="215">
          <cell r="B215" t="str">
            <v>AU Small Finance Bank Ltd</v>
          </cell>
          <cell r="C215">
            <v>0</v>
          </cell>
          <cell r="D215">
            <v>0.27929999999999999</v>
          </cell>
          <cell r="E215">
            <v>-0.27929999999999999</v>
          </cell>
          <cell r="F215">
            <v>0</v>
          </cell>
          <cell r="G215">
            <v>0.27939700000000001</v>
          </cell>
        </row>
        <row r="216">
          <cell r="B216" t="str">
            <v>Authum Investment &amp; Infrastucture Ltd</v>
          </cell>
          <cell r="C216">
            <v>0</v>
          </cell>
          <cell r="D216">
            <v>8.2619999999999999E-2</v>
          </cell>
          <cell r="E216">
            <v>-8.2619999999999999E-2</v>
          </cell>
          <cell r="F216">
            <v>0</v>
          </cell>
          <cell r="G216">
            <v>8.2649E-2</v>
          </cell>
        </row>
        <row r="217">
          <cell r="B217" t="str">
            <v>Axis Bank Ltd</v>
          </cell>
          <cell r="C217">
            <v>7.1185</v>
          </cell>
          <cell r="D217">
            <v>1.8102799999999999</v>
          </cell>
          <cell r="E217">
            <v>5.3082200000000004</v>
          </cell>
          <cell r="F217">
            <v>8.2001240000000006</v>
          </cell>
          <cell r="G217">
            <v>1.81091</v>
          </cell>
        </row>
        <row r="218">
          <cell r="B218" t="str">
            <v>Bajaj Finance Ltd</v>
          </cell>
          <cell r="C218">
            <v>0</v>
          </cell>
          <cell r="D218">
            <v>1.3036799999999999</v>
          </cell>
          <cell r="E218">
            <v>-1.3036799999999999</v>
          </cell>
          <cell r="F218">
            <v>0</v>
          </cell>
          <cell r="G218">
            <v>1.3041339999999999</v>
          </cell>
        </row>
        <row r="219">
          <cell r="B219" t="str">
            <v>Bajaj Finserv Ltd</v>
          </cell>
          <cell r="C219">
            <v>0</v>
          </cell>
          <cell r="D219">
            <v>0.58040000000000003</v>
          </cell>
          <cell r="E219">
            <v>-0.58040000000000003</v>
          </cell>
          <cell r="F219">
            <v>0</v>
          </cell>
          <cell r="G219">
            <v>0.58060199999999995</v>
          </cell>
        </row>
        <row r="220">
          <cell r="B220" t="str">
            <v>Bajaj Holdings and Investment Ltd</v>
          </cell>
          <cell r="C220">
            <v>0</v>
          </cell>
          <cell r="D220">
            <v>0.24401999999999999</v>
          </cell>
          <cell r="E220">
            <v>-0.24401999999999999</v>
          </cell>
          <cell r="F220">
            <v>0</v>
          </cell>
          <cell r="G220">
            <v>0.24410499999999999</v>
          </cell>
        </row>
        <row r="221">
          <cell r="B221" t="str">
            <v>Bajaj Housing Finance Ltd</v>
          </cell>
          <cell r="C221">
            <v>0</v>
          </cell>
          <cell r="D221">
            <v>4.3950000000000003E-2</v>
          </cell>
          <cell r="E221">
            <v>-4.3950000000000003E-2</v>
          </cell>
          <cell r="F221">
            <v>0</v>
          </cell>
          <cell r="G221">
            <v>4.3964999999999997E-2</v>
          </cell>
        </row>
        <row r="222">
          <cell r="B222" t="str">
            <v>Bandhan Bank Ltd</v>
          </cell>
          <cell r="C222">
            <v>0</v>
          </cell>
          <cell r="D222">
            <v>6.4000000000000001E-2</v>
          </cell>
          <cell r="E222">
            <v>-6.4000000000000001E-2</v>
          </cell>
          <cell r="F222">
            <v>0</v>
          </cell>
          <cell r="G222">
            <v>6.4021999999999996E-2</v>
          </cell>
        </row>
        <row r="223">
          <cell r="B223" t="str">
            <v>Bank of Baroda</v>
          </cell>
          <cell r="C223">
            <v>1.59788</v>
          </cell>
          <cell r="D223">
            <v>0.27315</v>
          </cell>
          <cell r="E223">
            <v>1.32473</v>
          </cell>
          <cell r="F223">
            <v>1.8406709999999999</v>
          </cell>
          <cell r="G223">
            <v>0.27324500000000002</v>
          </cell>
        </row>
        <row r="224">
          <cell r="B224" t="str">
            <v>Bank of India</v>
          </cell>
          <cell r="C224">
            <v>0</v>
          </cell>
          <cell r="D224">
            <v>8.6980000000000002E-2</v>
          </cell>
          <cell r="E224">
            <v>-8.6980000000000002E-2</v>
          </cell>
          <cell r="F224">
            <v>0</v>
          </cell>
          <cell r="G224">
            <v>8.7010000000000004E-2</v>
          </cell>
        </row>
        <row r="225">
          <cell r="B225" t="str">
            <v>Bank of Maharashtra</v>
          </cell>
          <cell r="C225">
            <v>0</v>
          </cell>
          <cell r="D225">
            <v>6.2880000000000005E-2</v>
          </cell>
          <cell r="E225">
            <v>-6.2880000000000005E-2</v>
          </cell>
          <cell r="F225">
            <v>0</v>
          </cell>
          <cell r="G225">
            <v>6.2902E-2</v>
          </cell>
        </row>
        <row r="226">
          <cell r="B226" t="str">
            <v>BSE Ltd</v>
          </cell>
          <cell r="C226">
            <v>0</v>
          </cell>
          <cell r="D226">
            <v>0.53527000000000002</v>
          </cell>
          <cell r="E226">
            <v>-0.53527000000000002</v>
          </cell>
          <cell r="F226">
            <v>0</v>
          </cell>
          <cell r="G226">
            <v>0.53545600000000004</v>
          </cell>
        </row>
        <row r="227">
          <cell r="B227" t="str">
            <v>Can Fin Homes Ltd</v>
          </cell>
          <cell r="C227">
            <v>0</v>
          </cell>
          <cell r="D227">
            <v>3.9030000000000002E-2</v>
          </cell>
          <cell r="E227">
            <v>-3.9030000000000002E-2</v>
          </cell>
          <cell r="F227">
            <v>0</v>
          </cell>
          <cell r="G227">
            <v>3.9044000000000002E-2</v>
          </cell>
        </row>
        <row r="228">
          <cell r="B228" t="str">
            <v>Canara Bank</v>
          </cell>
          <cell r="C228">
            <v>0</v>
          </cell>
          <cell r="D228">
            <v>0.25985999999999998</v>
          </cell>
          <cell r="E228">
            <v>-0.25985999999999998</v>
          </cell>
          <cell r="F228">
            <v>0</v>
          </cell>
          <cell r="G228">
            <v>0.25995000000000001</v>
          </cell>
        </row>
        <row r="229">
          <cell r="B229" t="str">
            <v>Capri Global Capital Ltd</v>
          </cell>
          <cell r="C229">
            <v>0</v>
          </cell>
          <cell r="D229">
            <v>3.5130000000000002E-2</v>
          </cell>
          <cell r="E229">
            <v>-3.5130000000000002E-2</v>
          </cell>
          <cell r="F229">
            <v>0</v>
          </cell>
          <cell r="G229">
            <v>3.5142E-2</v>
          </cell>
        </row>
        <row r="230">
          <cell r="B230" t="str">
            <v>Central Bank of India</v>
          </cell>
          <cell r="C230">
            <v>0</v>
          </cell>
          <cell r="D230">
            <v>1.8100000000000002E-2</v>
          </cell>
          <cell r="E230">
            <v>-1.8100000000000002E-2</v>
          </cell>
          <cell r="F230">
            <v>0</v>
          </cell>
          <cell r="G230">
            <v>1.8106000000000001E-2</v>
          </cell>
        </row>
        <row r="231">
          <cell r="B231" t="str">
            <v>Central Depository Services (India) Ltd</v>
          </cell>
          <cell r="C231">
            <v>0</v>
          </cell>
          <cell r="D231">
            <v>0.12795999999999999</v>
          </cell>
          <cell r="E231">
            <v>-0.12795999999999999</v>
          </cell>
          <cell r="F231">
            <v>0</v>
          </cell>
          <cell r="G231">
            <v>0.12800500000000001</v>
          </cell>
        </row>
        <row r="232">
          <cell r="B232" t="str">
            <v>Choice International Ltd</v>
          </cell>
          <cell r="C232">
            <v>0</v>
          </cell>
          <cell r="D232">
            <v>3.041E-2</v>
          </cell>
          <cell r="E232">
            <v>-3.041E-2</v>
          </cell>
          <cell r="F232">
            <v>0</v>
          </cell>
          <cell r="G232">
            <v>3.0421E-2</v>
          </cell>
        </row>
        <row r="233">
          <cell r="B233" t="str">
            <v>Cholamandalam Financial Holdings Ltd</v>
          </cell>
          <cell r="C233">
            <v>0</v>
          </cell>
          <cell r="D233">
            <v>8.9340000000000003E-2</v>
          </cell>
          <cell r="E233">
            <v>-8.9340000000000003E-2</v>
          </cell>
          <cell r="F233">
            <v>0</v>
          </cell>
          <cell r="G233">
            <v>8.9371000000000006E-2</v>
          </cell>
        </row>
        <row r="234">
          <cell r="B234" t="str">
            <v>Cholamandalam Investment and Finance Co Ltd</v>
          </cell>
          <cell r="C234">
            <v>0</v>
          </cell>
          <cell r="D234">
            <v>0.35818</v>
          </cell>
          <cell r="E234">
            <v>-0.35818</v>
          </cell>
          <cell r="F234">
            <v>0</v>
          </cell>
          <cell r="G234">
            <v>0.35830499999999998</v>
          </cell>
        </row>
        <row r="235">
          <cell r="B235" t="str">
            <v>City Union Bank Ltd</v>
          </cell>
          <cell r="C235">
            <v>0</v>
          </cell>
          <cell r="D235">
            <v>0.10442</v>
          </cell>
          <cell r="E235">
            <v>-0.10442</v>
          </cell>
          <cell r="F235">
            <v>0</v>
          </cell>
          <cell r="G235">
            <v>0.10445599999999999</v>
          </cell>
        </row>
        <row r="236">
          <cell r="B236" t="str">
            <v>CreditAccess Grameen Ltd Ordinary Shares</v>
          </cell>
          <cell r="C236">
            <v>0</v>
          </cell>
          <cell r="D236">
            <v>3.4160000000000003E-2</v>
          </cell>
          <cell r="E236">
            <v>-3.4160000000000003E-2</v>
          </cell>
          <cell r="F236">
            <v>0</v>
          </cell>
          <cell r="G236">
            <v>3.4172000000000001E-2</v>
          </cell>
        </row>
        <row r="237">
          <cell r="B237" t="str">
            <v>CRISIL Ltd</v>
          </cell>
          <cell r="C237">
            <v>0</v>
          </cell>
          <cell r="D237">
            <v>5.2519999999999997E-2</v>
          </cell>
          <cell r="E237">
            <v>-5.2519999999999997E-2</v>
          </cell>
          <cell r="F237">
            <v>0</v>
          </cell>
          <cell r="G237">
            <v>5.2538000000000001E-2</v>
          </cell>
        </row>
        <row r="238">
          <cell r="B238" t="str">
            <v>Five-Star Business Finance Ltd</v>
          </cell>
          <cell r="C238">
            <v>0</v>
          </cell>
          <cell r="D238">
            <v>5.2359999999999997E-2</v>
          </cell>
          <cell r="E238">
            <v>-5.2359999999999997E-2</v>
          </cell>
          <cell r="F238">
            <v>0</v>
          </cell>
          <cell r="G238">
            <v>5.2378000000000001E-2</v>
          </cell>
        </row>
        <row r="239">
          <cell r="B239" t="str">
            <v>General Insurance Corp of India</v>
          </cell>
          <cell r="C239">
            <v>0</v>
          </cell>
          <cell r="D239">
            <v>5.8569999999999997E-2</v>
          </cell>
          <cell r="E239">
            <v>-5.8569999999999997E-2</v>
          </cell>
          <cell r="F239">
            <v>0</v>
          </cell>
          <cell r="G239">
            <v>5.8590000000000003E-2</v>
          </cell>
        </row>
        <row r="240">
          <cell r="B240" t="str">
            <v>Go Digit General Insurance Ltd</v>
          </cell>
          <cell r="C240">
            <v>0</v>
          </cell>
          <cell r="D240">
            <v>4.1180000000000001E-2</v>
          </cell>
          <cell r="E240">
            <v>-4.1180000000000001E-2</v>
          </cell>
          <cell r="F240">
            <v>0</v>
          </cell>
          <cell r="G240">
            <v>4.1194000000000001E-2</v>
          </cell>
        </row>
        <row r="241">
          <cell r="B241" t="str">
            <v>HDFC Asset Management Co Ltd</v>
          </cell>
          <cell r="C241">
            <v>0</v>
          </cell>
          <cell r="D241">
            <v>0.27067999999999998</v>
          </cell>
          <cell r="E241">
            <v>-0.27067999999999998</v>
          </cell>
          <cell r="F241">
            <v>0</v>
          </cell>
          <cell r="G241">
            <v>0.27077400000000001</v>
          </cell>
        </row>
        <row r="242">
          <cell r="B242" t="str">
            <v>HDFC Bank Ltd</v>
          </cell>
          <cell r="C242">
            <v>8.4405599999999996</v>
          </cell>
          <cell r="D242">
            <v>7.5444599999999999</v>
          </cell>
          <cell r="E242">
            <v>0.89610000000000001</v>
          </cell>
          <cell r="F242">
            <v>9.7230650000000001</v>
          </cell>
          <cell r="G242">
            <v>7.5470870000000003</v>
          </cell>
        </row>
        <row r="243">
          <cell r="B243" t="str">
            <v>HDFC Life Insurance Co Ltd</v>
          </cell>
          <cell r="C243">
            <v>0</v>
          </cell>
          <cell r="D243">
            <v>0.40100000000000002</v>
          </cell>
          <cell r="E243">
            <v>-0.40100000000000002</v>
          </cell>
          <cell r="F243">
            <v>0</v>
          </cell>
          <cell r="G243">
            <v>0.40114</v>
          </cell>
        </row>
        <row r="244">
          <cell r="B244" t="str">
            <v>Home First Finance Co India Ltd ---</v>
          </cell>
          <cell r="C244">
            <v>0</v>
          </cell>
          <cell r="D244">
            <v>4.9439999999999998E-2</v>
          </cell>
          <cell r="E244">
            <v>-4.9439999999999998E-2</v>
          </cell>
          <cell r="F244">
            <v>0</v>
          </cell>
          <cell r="G244">
            <v>4.9457000000000001E-2</v>
          </cell>
        </row>
        <row r="245">
          <cell r="B245" t="str">
            <v>Housing &amp; Urban Development Corp Ltd</v>
          </cell>
          <cell r="C245">
            <v>0</v>
          </cell>
          <cell r="D245">
            <v>5.6980000000000003E-2</v>
          </cell>
          <cell r="E245">
            <v>-5.6980000000000003E-2</v>
          </cell>
          <cell r="F245">
            <v>0</v>
          </cell>
          <cell r="G245">
            <v>5.7000000000000002E-2</v>
          </cell>
        </row>
        <row r="246">
          <cell r="B246" t="str">
            <v>ICICI Bank Ltd</v>
          </cell>
          <cell r="C246">
            <v>8.9252400000000005</v>
          </cell>
          <cell r="D246">
            <v>4.77278</v>
          </cell>
          <cell r="E246">
            <v>4.1524599999999996</v>
          </cell>
          <cell r="F246">
            <v>10.28139</v>
          </cell>
          <cell r="G246">
            <v>4.7744419999999996</v>
          </cell>
        </row>
        <row r="247">
          <cell r="B247" t="str">
            <v>ICICI Lombard General Insurance Co Ltd</v>
          </cell>
          <cell r="C247">
            <v>0</v>
          </cell>
          <cell r="D247">
            <v>0.23627000000000001</v>
          </cell>
          <cell r="E247">
            <v>-0.23627000000000001</v>
          </cell>
          <cell r="F247">
            <v>0</v>
          </cell>
          <cell r="G247">
            <v>0.23635200000000001</v>
          </cell>
        </row>
        <row r="248">
          <cell r="B248" t="str">
            <v>ICICI Prudential Life Insurance Co Ltd</v>
          </cell>
          <cell r="C248">
            <v>0</v>
          </cell>
          <cell r="D248">
            <v>0.13062000000000001</v>
          </cell>
          <cell r="E248">
            <v>-0.13062000000000001</v>
          </cell>
          <cell r="F248">
            <v>0</v>
          </cell>
          <cell r="G248">
            <v>0.130665</v>
          </cell>
        </row>
        <row r="249">
          <cell r="B249" t="str">
            <v>IDBI Bank Ltd</v>
          </cell>
          <cell r="C249">
            <v>0</v>
          </cell>
          <cell r="D249">
            <v>2.8719999999999999E-2</v>
          </cell>
          <cell r="E249">
            <v>-2.8719999999999999E-2</v>
          </cell>
          <cell r="F249">
            <v>0</v>
          </cell>
          <cell r="G249">
            <v>2.8729999999999999E-2</v>
          </cell>
        </row>
        <row r="250">
          <cell r="B250" t="str">
            <v>IDFC First Bank Ltd</v>
          </cell>
          <cell r="C250">
            <v>0</v>
          </cell>
          <cell r="D250">
            <v>0.28192</v>
          </cell>
          <cell r="E250">
            <v>-0.28192</v>
          </cell>
          <cell r="F250">
            <v>0</v>
          </cell>
          <cell r="G250">
            <v>0.28201799999999999</v>
          </cell>
        </row>
        <row r="251">
          <cell r="B251" t="str">
            <v>IFCI Ltd</v>
          </cell>
          <cell r="C251">
            <v>0</v>
          </cell>
          <cell r="D251">
            <v>1.7440000000000001E-2</v>
          </cell>
          <cell r="E251">
            <v>-1.7440000000000001E-2</v>
          </cell>
          <cell r="F251">
            <v>0</v>
          </cell>
          <cell r="G251">
            <v>1.7446E-2</v>
          </cell>
        </row>
        <row r="252">
          <cell r="B252" t="str">
            <v>IIFL Finance Ltd</v>
          </cell>
          <cell r="C252">
            <v>0</v>
          </cell>
          <cell r="D252">
            <v>7.0620000000000002E-2</v>
          </cell>
          <cell r="E252">
            <v>-7.0620000000000002E-2</v>
          </cell>
          <cell r="F252">
            <v>0</v>
          </cell>
          <cell r="G252">
            <v>7.0644999999999999E-2</v>
          </cell>
        </row>
        <row r="253">
          <cell r="B253" t="str">
            <v>Indian Bank</v>
          </cell>
          <cell r="C253">
            <v>0</v>
          </cell>
          <cell r="D253">
            <v>0.14724000000000001</v>
          </cell>
          <cell r="E253">
            <v>-0.14724000000000001</v>
          </cell>
          <cell r="F253">
            <v>0</v>
          </cell>
          <cell r="G253">
            <v>0.14729100000000001</v>
          </cell>
        </row>
        <row r="254">
          <cell r="B254" t="str">
            <v>Indian Energy Exchange Ltd</v>
          </cell>
          <cell r="C254">
            <v>0</v>
          </cell>
          <cell r="D254">
            <v>5.3080000000000002E-2</v>
          </cell>
          <cell r="E254">
            <v>-5.3080000000000002E-2</v>
          </cell>
          <cell r="F254">
            <v>0</v>
          </cell>
          <cell r="G254">
            <v>5.3097999999999999E-2</v>
          </cell>
        </row>
        <row r="255">
          <cell r="B255" t="str">
            <v>Indian Overseas Bank</v>
          </cell>
          <cell r="C255">
            <v>0</v>
          </cell>
          <cell r="D255">
            <v>2.6259999999999999E-2</v>
          </cell>
          <cell r="E255">
            <v>-2.6259999999999999E-2</v>
          </cell>
          <cell r="F255">
            <v>0</v>
          </cell>
          <cell r="G255">
            <v>2.6269000000000001E-2</v>
          </cell>
        </row>
        <row r="256">
          <cell r="B256" t="str">
            <v>Indian Railway Finance Corp Ltd Ordinary Shares</v>
          </cell>
          <cell r="C256">
            <v>0</v>
          </cell>
          <cell r="D256">
            <v>0.11078</v>
          </cell>
          <cell r="E256">
            <v>-0.11078</v>
          </cell>
          <cell r="F256">
            <v>0</v>
          </cell>
          <cell r="G256">
            <v>0.110819</v>
          </cell>
        </row>
        <row r="257">
          <cell r="B257" t="str">
            <v>Indian Renewable Energy Development Agency Ltd</v>
          </cell>
          <cell r="C257">
            <v>0</v>
          </cell>
          <cell r="D257">
            <v>5.5390000000000002E-2</v>
          </cell>
          <cell r="E257">
            <v>-5.5390000000000002E-2</v>
          </cell>
          <cell r="F257">
            <v>0</v>
          </cell>
          <cell r="G257">
            <v>5.5409E-2</v>
          </cell>
        </row>
        <row r="258">
          <cell r="B258" t="str">
            <v>IndusInd Bank Ltd</v>
          </cell>
          <cell r="C258">
            <v>0</v>
          </cell>
          <cell r="D258">
            <v>0.28315000000000001</v>
          </cell>
          <cell r="E258">
            <v>-0.28315000000000001</v>
          </cell>
          <cell r="F258">
            <v>0</v>
          </cell>
          <cell r="G258">
            <v>0.28324899999999997</v>
          </cell>
        </row>
        <row r="259">
          <cell r="B259" t="str">
            <v>Jammu &amp; Kashmir Bank Ltd</v>
          </cell>
          <cell r="C259">
            <v>0</v>
          </cell>
          <cell r="D259">
            <v>2.2259999999999999E-2</v>
          </cell>
          <cell r="E259">
            <v>-2.2259999999999999E-2</v>
          </cell>
          <cell r="F259">
            <v>0</v>
          </cell>
          <cell r="G259">
            <v>2.2268E-2</v>
          </cell>
        </row>
        <row r="260">
          <cell r="B260" t="str">
            <v>Jio Financial Services Ltd</v>
          </cell>
          <cell r="C260">
            <v>0</v>
          </cell>
          <cell r="D260">
            <v>0.48110999999999998</v>
          </cell>
          <cell r="E260">
            <v>-0.48110999999999998</v>
          </cell>
          <cell r="F260">
            <v>0</v>
          </cell>
          <cell r="G260">
            <v>0.48127799999999998</v>
          </cell>
        </row>
        <row r="261">
          <cell r="B261" t="str">
            <v>JM Financial Ltd</v>
          </cell>
          <cell r="C261">
            <v>0</v>
          </cell>
          <cell r="D261">
            <v>2.9080000000000002E-2</v>
          </cell>
          <cell r="E261">
            <v>-2.9080000000000002E-2</v>
          </cell>
          <cell r="F261">
            <v>0</v>
          </cell>
          <cell r="G261">
            <v>2.9090000000000001E-2</v>
          </cell>
        </row>
        <row r="262">
          <cell r="B262" t="str">
            <v>Karur Vysya Bank Ltd</v>
          </cell>
          <cell r="C262">
            <v>0</v>
          </cell>
          <cell r="D262">
            <v>0.12396</v>
          </cell>
          <cell r="E262">
            <v>-0.12396</v>
          </cell>
          <cell r="F262">
            <v>0</v>
          </cell>
          <cell r="G262">
            <v>0.124003</v>
          </cell>
        </row>
        <row r="263">
          <cell r="B263" t="str">
            <v>Kotak Mahindra Bank Ltd</v>
          </cell>
          <cell r="C263">
            <v>4.1601400000000002</v>
          </cell>
          <cell r="D263">
            <v>1.6107199999999999</v>
          </cell>
          <cell r="E263">
            <v>2.54942</v>
          </cell>
          <cell r="F263">
            <v>4.7922549999999999</v>
          </cell>
          <cell r="G263">
            <v>1.611281</v>
          </cell>
        </row>
        <row r="264">
          <cell r="B264" t="str">
            <v>L&amp;T Finance Ltd</v>
          </cell>
          <cell r="C264">
            <v>0</v>
          </cell>
          <cell r="D264">
            <v>0.12856999999999999</v>
          </cell>
          <cell r="E264">
            <v>-0.12856999999999999</v>
          </cell>
          <cell r="F264">
            <v>0</v>
          </cell>
          <cell r="G264">
            <v>0.12861500000000001</v>
          </cell>
        </row>
        <row r="265">
          <cell r="B265" t="str">
            <v>LIC Housing Finance Ltd</v>
          </cell>
          <cell r="C265">
            <v>0</v>
          </cell>
          <cell r="D265">
            <v>8.072E-2</v>
          </cell>
          <cell r="E265">
            <v>-8.072E-2</v>
          </cell>
          <cell r="F265">
            <v>0</v>
          </cell>
          <cell r="G265">
            <v>8.0748E-2</v>
          </cell>
        </row>
        <row r="266">
          <cell r="B266" t="str">
            <v>Life Insurance Corporation of India</v>
          </cell>
          <cell r="C266">
            <v>0</v>
          </cell>
          <cell r="D266">
            <v>9.4420000000000004E-2</v>
          </cell>
          <cell r="E266">
            <v>-9.4420000000000004E-2</v>
          </cell>
          <cell r="F266">
            <v>0</v>
          </cell>
          <cell r="G266">
            <v>9.4452999999999995E-2</v>
          </cell>
        </row>
        <row r="267">
          <cell r="B267" t="str">
            <v>Maharashtra Scooters Ltd</v>
          </cell>
          <cell r="C267">
            <v>0</v>
          </cell>
          <cell r="D267">
            <v>3.8670000000000003E-2</v>
          </cell>
          <cell r="E267">
            <v>-3.8670000000000003E-2</v>
          </cell>
          <cell r="F267">
            <v>0</v>
          </cell>
          <cell r="G267">
            <v>3.8683000000000002E-2</v>
          </cell>
        </row>
        <row r="268">
          <cell r="B268" t="str">
            <v>Mahindra &amp; Mahindra Financial Services Ltd</v>
          </cell>
          <cell r="C268">
            <v>0</v>
          </cell>
          <cell r="D268">
            <v>0.13261999999999999</v>
          </cell>
          <cell r="E268">
            <v>-0.13261999999999999</v>
          </cell>
          <cell r="F268">
            <v>0</v>
          </cell>
          <cell r="G268">
            <v>0.13266600000000001</v>
          </cell>
        </row>
        <row r="269">
          <cell r="B269" t="str">
            <v>Manappuram Finance Ltd</v>
          </cell>
          <cell r="C269">
            <v>0</v>
          </cell>
          <cell r="D269">
            <v>8.4260000000000002E-2</v>
          </cell>
          <cell r="E269">
            <v>-8.4260000000000002E-2</v>
          </cell>
          <cell r="F269">
            <v>0</v>
          </cell>
          <cell r="G269">
            <v>8.4289000000000003E-2</v>
          </cell>
        </row>
        <row r="270">
          <cell r="B270" t="str">
            <v>Max Financial Services Ltd</v>
          </cell>
          <cell r="C270">
            <v>0</v>
          </cell>
          <cell r="D270">
            <v>0.21929999999999999</v>
          </cell>
          <cell r="E270">
            <v>-0.21929999999999999</v>
          </cell>
          <cell r="F270">
            <v>0</v>
          </cell>
          <cell r="G270">
            <v>0.21937599999999999</v>
          </cell>
        </row>
        <row r="271">
          <cell r="B271" t="str">
            <v>Motilal Oswal Financial Services Ltd</v>
          </cell>
          <cell r="C271">
            <v>0</v>
          </cell>
          <cell r="D271">
            <v>6.6000000000000003E-2</v>
          </cell>
          <cell r="E271">
            <v>-6.6000000000000003E-2</v>
          </cell>
          <cell r="F271">
            <v>0</v>
          </cell>
          <cell r="G271">
            <v>6.6022999999999998E-2</v>
          </cell>
        </row>
        <row r="272">
          <cell r="B272" t="str">
            <v>Multi Commodity Exchange of India Ltd</v>
          </cell>
          <cell r="C272">
            <v>0</v>
          </cell>
          <cell r="D272">
            <v>0.28269</v>
          </cell>
          <cell r="E272">
            <v>-0.28269</v>
          </cell>
          <cell r="F272">
            <v>0</v>
          </cell>
          <cell r="G272">
            <v>0.28278799999999998</v>
          </cell>
        </row>
        <row r="273">
          <cell r="B273" t="str">
            <v>Muthoot Finance Ltd</v>
          </cell>
          <cell r="C273">
            <v>0</v>
          </cell>
          <cell r="D273">
            <v>0.20330000000000001</v>
          </cell>
          <cell r="E273">
            <v>-0.20330000000000001</v>
          </cell>
          <cell r="F273">
            <v>0</v>
          </cell>
          <cell r="G273">
            <v>0.203371</v>
          </cell>
        </row>
        <row r="274">
          <cell r="B274" t="str">
            <v>Nippon Life India Asset Management Ltd Ordinary Shares</v>
          </cell>
          <cell r="C274">
            <v>0</v>
          </cell>
          <cell r="D274">
            <v>7.7799999999999994E-2</v>
          </cell>
          <cell r="E274">
            <v>-7.7799999999999994E-2</v>
          </cell>
          <cell r="F274">
            <v>0</v>
          </cell>
          <cell r="G274">
            <v>7.7826999999999993E-2</v>
          </cell>
        </row>
        <row r="275">
          <cell r="B275" t="str">
            <v>Niva Bupa Health Insurance Co Ltd</v>
          </cell>
          <cell r="C275">
            <v>0</v>
          </cell>
          <cell r="D275">
            <v>2.3179999999999999E-2</v>
          </cell>
          <cell r="E275">
            <v>-2.3179999999999999E-2</v>
          </cell>
          <cell r="F275">
            <v>0</v>
          </cell>
          <cell r="G275">
            <v>2.3188E-2</v>
          </cell>
        </row>
        <row r="276">
          <cell r="B276" t="str">
            <v>Nuvama Wealth Management Ltd</v>
          </cell>
          <cell r="C276">
            <v>0</v>
          </cell>
          <cell r="D276">
            <v>5.595E-2</v>
          </cell>
          <cell r="E276">
            <v>-5.595E-2</v>
          </cell>
          <cell r="F276">
            <v>0</v>
          </cell>
          <cell r="G276">
            <v>5.5968999999999998E-2</v>
          </cell>
        </row>
        <row r="277">
          <cell r="B277" t="str">
            <v>PB Fintech Ltd</v>
          </cell>
          <cell r="C277">
            <v>0</v>
          </cell>
          <cell r="D277">
            <v>0.30970999999999999</v>
          </cell>
          <cell r="E277">
            <v>-0.30970999999999999</v>
          </cell>
          <cell r="F277">
            <v>0</v>
          </cell>
          <cell r="G277">
            <v>0.30981799999999998</v>
          </cell>
        </row>
        <row r="278">
          <cell r="B278" t="str">
            <v>PNB Housing Finance Ltd</v>
          </cell>
          <cell r="C278">
            <v>0</v>
          </cell>
          <cell r="D278">
            <v>8.8980000000000004E-2</v>
          </cell>
          <cell r="E278">
            <v>-8.8980000000000004E-2</v>
          </cell>
          <cell r="F278">
            <v>0</v>
          </cell>
          <cell r="G278">
            <v>8.9011000000000007E-2</v>
          </cell>
        </row>
        <row r="279">
          <cell r="B279" t="str">
            <v>Poonawalla Fincorp Ltd</v>
          </cell>
          <cell r="C279">
            <v>0</v>
          </cell>
          <cell r="D279">
            <v>6.9080000000000003E-2</v>
          </cell>
          <cell r="E279">
            <v>-6.9080000000000003E-2</v>
          </cell>
          <cell r="F279">
            <v>0</v>
          </cell>
          <cell r="G279">
            <v>6.9103999999999999E-2</v>
          </cell>
        </row>
        <row r="280">
          <cell r="B280" t="str">
            <v>Power Finance Corp Ltd</v>
          </cell>
          <cell r="C280">
            <v>0</v>
          </cell>
          <cell r="D280">
            <v>0.25750000000000001</v>
          </cell>
          <cell r="E280">
            <v>-0.25750000000000001</v>
          </cell>
          <cell r="F280">
            <v>0</v>
          </cell>
          <cell r="G280">
            <v>0.25758999999999999</v>
          </cell>
        </row>
        <row r="281">
          <cell r="B281" t="str">
            <v>Punjab National Bank</v>
          </cell>
          <cell r="C281">
            <v>0</v>
          </cell>
          <cell r="D281">
            <v>0.21201</v>
          </cell>
          <cell r="E281">
            <v>-0.21201</v>
          </cell>
          <cell r="F281">
            <v>0</v>
          </cell>
          <cell r="G281">
            <v>0.21208399999999999</v>
          </cell>
        </row>
        <row r="282">
          <cell r="B282" t="str">
            <v>RBL Bank Ltd</v>
          </cell>
          <cell r="C282">
            <v>0</v>
          </cell>
          <cell r="D282">
            <v>9.4619999999999996E-2</v>
          </cell>
          <cell r="E282">
            <v>-9.4619999999999996E-2</v>
          </cell>
          <cell r="F282">
            <v>0</v>
          </cell>
          <cell r="G282">
            <v>9.4653000000000001E-2</v>
          </cell>
        </row>
        <row r="283">
          <cell r="B283" t="str">
            <v>REC Ltd</v>
          </cell>
          <cell r="C283">
            <v>0</v>
          </cell>
          <cell r="D283">
            <v>0.22176000000000001</v>
          </cell>
          <cell r="E283">
            <v>-0.22176000000000001</v>
          </cell>
          <cell r="F283">
            <v>0</v>
          </cell>
          <cell r="G283">
            <v>0.22183700000000001</v>
          </cell>
        </row>
        <row r="284">
          <cell r="B284" t="str">
            <v>Sammaan Capital Ltd</v>
          </cell>
          <cell r="C284">
            <v>0</v>
          </cell>
          <cell r="D284">
            <v>5.595E-2</v>
          </cell>
          <cell r="E284">
            <v>-5.595E-2</v>
          </cell>
          <cell r="F284">
            <v>0</v>
          </cell>
          <cell r="G284">
            <v>5.5968999999999998E-2</v>
          </cell>
        </row>
        <row r="285">
          <cell r="B285" t="str">
            <v>SBFC Finance Ltd</v>
          </cell>
          <cell r="C285">
            <v>0</v>
          </cell>
          <cell r="D285">
            <v>2.0209999999999999E-2</v>
          </cell>
          <cell r="E285">
            <v>-2.0209999999999999E-2</v>
          </cell>
          <cell r="F285">
            <v>0</v>
          </cell>
          <cell r="G285">
            <v>2.0216999999999999E-2</v>
          </cell>
        </row>
        <row r="286">
          <cell r="B286" t="str">
            <v>SBI Cards and Payment Services Ltd Ordinary Shares</v>
          </cell>
          <cell r="C286">
            <v>0</v>
          </cell>
          <cell r="D286">
            <v>0.12852</v>
          </cell>
          <cell r="E286">
            <v>-0.12852</v>
          </cell>
          <cell r="F286">
            <v>0</v>
          </cell>
          <cell r="G286">
            <v>0.12856500000000001</v>
          </cell>
        </row>
        <row r="287">
          <cell r="B287" t="str">
            <v>SBI Life Insurance Co Ltd</v>
          </cell>
          <cell r="C287">
            <v>4.2263900000000003</v>
          </cell>
          <cell r="D287">
            <v>0.45449000000000001</v>
          </cell>
          <cell r="E287">
            <v>3.7719</v>
          </cell>
          <cell r="F287">
            <v>4.8685710000000002</v>
          </cell>
          <cell r="G287">
            <v>0.454648</v>
          </cell>
        </row>
        <row r="288">
          <cell r="B288" t="str">
            <v>Shriram Finance Ltd</v>
          </cell>
          <cell r="C288">
            <v>0</v>
          </cell>
          <cell r="D288">
            <v>0.69420000000000004</v>
          </cell>
          <cell r="E288">
            <v>-0.69420000000000004</v>
          </cell>
          <cell r="F288">
            <v>0</v>
          </cell>
          <cell r="G288">
            <v>0.694442</v>
          </cell>
        </row>
        <row r="289">
          <cell r="B289" t="str">
            <v>Star Health and Allied Insurance Co Ltd</v>
          </cell>
          <cell r="C289">
            <v>0</v>
          </cell>
          <cell r="D289">
            <v>5.3129999999999997E-2</v>
          </cell>
          <cell r="E289">
            <v>-5.3129999999999997E-2</v>
          </cell>
          <cell r="F289">
            <v>0</v>
          </cell>
          <cell r="G289">
            <v>5.3149000000000002E-2</v>
          </cell>
        </row>
        <row r="290">
          <cell r="B290" t="str">
            <v>State Bank of India</v>
          </cell>
          <cell r="C290">
            <v>4.4879600000000002</v>
          </cell>
          <cell r="D290">
            <v>2.02773</v>
          </cell>
          <cell r="E290">
            <v>2.4602300000000001</v>
          </cell>
          <cell r="F290">
            <v>5.1698849999999998</v>
          </cell>
          <cell r="G290">
            <v>2.0284360000000001</v>
          </cell>
        </row>
        <row r="291">
          <cell r="B291" t="str">
            <v>Sundaram Finance Ltd</v>
          </cell>
          <cell r="C291">
            <v>0</v>
          </cell>
          <cell r="D291">
            <v>0.18099000000000001</v>
          </cell>
          <cell r="E291">
            <v>-0.18099000000000001</v>
          </cell>
          <cell r="F291">
            <v>0</v>
          </cell>
          <cell r="G291">
            <v>0.18105299999999999</v>
          </cell>
        </row>
        <row r="292">
          <cell r="B292" t="str">
            <v>Tata Investment Corp Ltd</v>
          </cell>
          <cell r="C292">
            <v>0</v>
          </cell>
          <cell r="D292">
            <v>4.5130000000000003E-2</v>
          </cell>
          <cell r="E292">
            <v>-4.5130000000000003E-2</v>
          </cell>
          <cell r="F292">
            <v>0</v>
          </cell>
          <cell r="G292">
            <v>4.5145999999999999E-2</v>
          </cell>
        </row>
        <row r="293">
          <cell r="B293" t="str">
            <v>The Federal Bank Ltd</v>
          </cell>
          <cell r="C293">
            <v>0</v>
          </cell>
          <cell r="D293">
            <v>0.32695000000000002</v>
          </cell>
          <cell r="E293">
            <v>-0.32695000000000002</v>
          </cell>
          <cell r="F293">
            <v>0</v>
          </cell>
          <cell r="G293">
            <v>0.32706400000000002</v>
          </cell>
        </row>
        <row r="294">
          <cell r="B294" t="str">
            <v>The New India Assurance Co Ltd</v>
          </cell>
          <cell r="C294">
            <v>0</v>
          </cell>
          <cell r="D294">
            <v>1.8669999999999999E-2</v>
          </cell>
          <cell r="E294">
            <v>-1.8669999999999999E-2</v>
          </cell>
          <cell r="F294">
            <v>0</v>
          </cell>
          <cell r="G294">
            <v>1.8676999999999999E-2</v>
          </cell>
        </row>
        <row r="295">
          <cell r="B295" t="str">
            <v>UCO Bank</v>
          </cell>
          <cell r="C295">
            <v>0</v>
          </cell>
          <cell r="D295">
            <v>1.6670000000000001E-2</v>
          </cell>
          <cell r="E295">
            <v>-1.6670000000000001E-2</v>
          </cell>
          <cell r="F295">
            <v>0</v>
          </cell>
          <cell r="G295">
            <v>1.6676E-2</v>
          </cell>
        </row>
        <row r="296">
          <cell r="B296" t="str">
            <v>Union Bank of India</v>
          </cell>
          <cell r="C296">
            <v>0</v>
          </cell>
          <cell r="D296">
            <v>0.14785999999999999</v>
          </cell>
          <cell r="E296">
            <v>-0.14785999999999999</v>
          </cell>
          <cell r="F296">
            <v>0</v>
          </cell>
          <cell r="G296">
            <v>0.14791099999999999</v>
          </cell>
        </row>
        <row r="297">
          <cell r="B297" t="str">
            <v>UTI Asset Management Co Ltd</v>
          </cell>
          <cell r="C297">
            <v>0</v>
          </cell>
          <cell r="D297">
            <v>2.3539999999999998E-2</v>
          </cell>
          <cell r="E297">
            <v>-2.3539999999999998E-2</v>
          </cell>
          <cell r="F297">
            <v>0</v>
          </cell>
          <cell r="G297">
            <v>2.3547999999999999E-2</v>
          </cell>
        </row>
        <row r="298">
          <cell r="B298" t="str">
            <v>Yes Bank Ltd</v>
          </cell>
          <cell r="C298">
            <v>0</v>
          </cell>
          <cell r="D298">
            <v>0.18867999999999999</v>
          </cell>
          <cell r="E298">
            <v>-0.18867999999999999</v>
          </cell>
          <cell r="F298">
            <v>0</v>
          </cell>
          <cell r="G298">
            <v>0.188746</v>
          </cell>
        </row>
        <row r="299">
          <cell r="C299">
            <v>7.4617699999999996</v>
          </cell>
          <cell r="D299">
            <v>6.3078000000000003</v>
          </cell>
          <cell r="E299">
            <v>1.1539699999999999</v>
          </cell>
          <cell r="F299">
            <v>8.5955530000000007</v>
          </cell>
          <cell r="G299">
            <v>6.3099970000000001</v>
          </cell>
        </row>
        <row r="300">
          <cell r="B300" t="str">
            <v>Abbott India Ltd</v>
          </cell>
          <cell r="C300">
            <v>0</v>
          </cell>
          <cell r="D300">
            <v>7.5899999999999995E-2</v>
          </cell>
          <cell r="E300">
            <v>-7.5899999999999995E-2</v>
          </cell>
          <cell r="F300">
            <v>0</v>
          </cell>
          <cell r="G300">
            <v>7.5925999999999993E-2</v>
          </cell>
        </row>
        <row r="301">
          <cell r="B301" t="str">
            <v>Ajanta Pharma Ltd</v>
          </cell>
          <cell r="C301">
            <v>0</v>
          </cell>
          <cell r="D301">
            <v>5.806E-2</v>
          </cell>
          <cell r="E301">
            <v>-5.806E-2</v>
          </cell>
          <cell r="F301">
            <v>0</v>
          </cell>
          <cell r="G301">
            <v>5.808E-2</v>
          </cell>
        </row>
        <row r="302">
          <cell r="B302" t="str">
            <v>Akums Drugs and Pharmaceuticals Ltd</v>
          </cell>
          <cell r="C302">
            <v>0</v>
          </cell>
          <cell r="D302">
            <v>6.2100000000000002E-3</v>
          </cell>
          <cell r="E302">
            <v>-6.2100000000000002E-3</v>
          </cell>
          <cell r="F302">
            <v>0</v>
          </cell>
          <cell r="G302">
            <v>6.2119999999999996E-3</v>
          </cell>
        </row>
        <row r="303">
          <cell r="B303" t="str">
            <v>Alembic Pharmaceuticals Ltd</v>
          </cell>
          <cell r="C303">
            <v>0</v>
          </cell>
          <cell r="D303">
            <v>2.3439999999999999E-2</v>
          </cell>
          <cell r="E303">
            <v>-2.3439999999999999E-2</v>
          </cell>
          <cell r="F303">
            <v>0</v>
          </cell>
          <cell r="G303">
            <v>2.3448E-2</v>
          </cell>
        </row>
        <row r="304">
          <cell r="B304" t="str">
            <v>Alkem Laboratories Ltd</v>
          </cell>
          <cell r="C304">
            <v>0</v>
          </cell>
          <cell r="D304">
            <v>0.16042000000000001</v>
          </cell>
          <cell r="E304">
            <v>-0.16042000000000001</v>
          </cell>
          <cell r="F304">
            <v>0</v>
          </cell>
          <cell r="G304">
            <v>0.16047600000000001</v>
          </cell>
        </row>
        <row r="305">
          <cell r="B305" t="str">
            <v>Apollo Hospitals Enterprise Ltd</v>
          </cell>
          <cell r="C305">
            <v>0.47538000000000002</v>
          </cell>
          <cell r="D305">
            <v>0.36079</v>
          </cell>
          <cell r="E305">
            <v>0.11459</v>
          </cell>
          <cell r="F305">
            <v>0.54761199999999999</v>
          </cell>
          <cell r="G305">
            <v>0.36091600000000001</v>
          </cell>
        </row>
        <row r="306">
          <cell r="B306" t="str">
            <v>Aster DM Healthcare Ltd Ordinary Shares</v>
          </cell>
          <cell r="C306">
            <v>0</v>
          </cell>
          <cell r="D306">
            <v>7.1340000000000001E-2</v>
          </cell>
          <cell r="E306">
            <v>-7.1340000000000001E-2</v>
          </cell>
          <cell r="F306">
            <v>0</v>
          </cell>
          <cell r="G306">
            <v>7.1364999999999998E-2</v>
          </cell>
        </row>
        <row r="307">
          <cell r="B307" t="str">
            <v>AstraZeneca Pharma India Ltd</v>
          </cell>
          <cell r="C307">
            <v>0</v>
          </cell>
          <cell r="D307">
            <v>2.7799999999999998E-2</v>
          </cell>
          <cell r="E307">
            <v>-2.7799999999999998E-2</v>
          </cell>
          <cell r="F307">
            <v>0</v>
          </cell>
          <cell r="G307">
            <v>2.7810000000000001E-2</v>
          </cell>
        </row>
        <row r="308">
          <cell r="B308" t="str">
            <v>Aurobindo Pharma Ltd</v>
          </cell>
          <cell r="C308">
            <v>0</v>
          </cell>
          <cell r="D308">
            <v>0.16467999999999999</v>
          </cell>
          <cell r="E308">
            <v>-0.16467999999999999</v>
          </cell>
          <cell r="F308">
            <v>0</v>
          </cell>
          <cell r="G308">
            <v>0.16473699999999999</v>
          </cell>
        </row>
        <row r="309">
          <cell r="B309" t="str">
            <v>Biocon Ltd</v>
          </cell>
          <cell r="C309">
            <v>0</v>
          </cell>
          <cell r="D309">
            <v>0.11765</v>
          </cell>
          <cell r="E309">
            <v>-0.11765</v>
          </cell>
          <cell r="F309">
            <v>0</v>
          </cell>
          <cell r="G309">
            <v>0.117691</v>
          </cell>
        </row>
        <row r="310">
          <cell r="B310" t="str">
            <v>Blue Jet Healthcare Ltd</v>
          </cell>
          <cell r="C310">
            <v>0</v>
          </cell>
          <cell r="D310">
            <v>9.2800000000000001E-3</v>
          </cell>
          <cell r="E310">
            <v>-9.2800000000000001E-3</v>
          </cell>
          <cell r="F310">
            <v>0</v>
          </cell>
          <cell r="G310">
            <v>9.2829999999999996E-3</v>
          </cell>
        </row>
        <row r="311">
          <cell r="B311" t="str">
            <v>Caplin Point Laboratories Ltd</v>
          </cell>
          <cell r="C311">
            <v>0</v>
          </cell>
          <cell r="D311">
            <v>1.8460000000000001E-2</v>
          </cell>
          <cell r="E311">
            <v>-1.8460000000000001E-2</v>
          </cell>
          <cell r="F311">
            <v>0</v>
          </cell>
          <cell r="G311">
            <v>1.8466E-2</v>
          </cell>
        </row>
        <row r="312">
          <cell r="B312" t="str">
            <v>Cipla Ltd</v>
          </cell>
          <cell r="C312">
            <v>3.2958400000000001</v>
          </cell>
          <cell r="D312">
            <v>0.42310999999999999</v>
          </cell>
          <cell r="E312">
            <v>2.8727299999999998</v>
          </cell>
          <cell r="F312">
            <v>3.7966280000000001</v>
          </cell>
          <cell r="G312">
            <v>0.42325699999999999</v>
          </cell>
        </row>
        <row r="313">
          <cell r="B313" t="str">
            <v>Cohance Lifesciences Ltd</v>
          </cell>
          <cell r="C313">
            <v>0.21958</v>
          </cell>
          <cell r="D313">
            <v>4.2770000000000002E-2</v>
          </cell>
          <cell r="E313">
            <v>0.17680999999999999</v>
          </cell>
          <cell r="F313">
            <v>0.252944</v>
          </cell>
          <cell r="G313">
            <v>4.2784999999999997E-2</v>
          </cell>
        </row>
        <row r="314">
          <cell r="B314" t="str">
            <v>Concord Biotech Ltd</v>
          </cell>
          <cell r="C314">
            <v>0</v>
          </cell>
          <cell r="D314">
            <v>2.2159999999999999E-2</v>
          </cell>
          <cell r="E314">
            <v>-2.2159999999999999E-2</v>
          </cell>
          <cell r="F314">
            <v>0</v>
          </cell>
          <cell r="G314">
            <v>2.2168E-2</v>
          </cell>
        </row>
        <row r="315">
          <cell r="B315" t="str">
            <v>Divi's Laboratories Ltd</v>
          </cell>
          <cell r="C315">
            <v>0</v>
          </cell>
          <cell r="D315">
            <v>0.40422999999999998</v>
          </cell>
          <cell r="E315">
            <v>-0.40422999999999998</v>
          </cell>
          <cell r="F315">
            <v>0</v>
          </cell>
          <cell r="G315">
            <v>0.40437099999999998</v>
          </cell>
        </row>
        <row r="316">
          <cell r="B316" t="str">
            <v>Dr Agarwal’s Health Care Ltd</v>
          </cell>
          <cell r="C316">
            <v>0</v>
          </cell>
          <cell r="D316">
            <v>1.949E-2</v>
          </cell>
          <cell r="E316">
            <v>-1.949E-2</v>
          </cell>
          <cell r="F316">
            <v>0</v>
          </cell>
          <cell r="G316">
            <v>1.9497E-2</v>
          </cell>
        </row>
        <row r="317">
          <cell r="B317" t="str">
            <v>Dr Reddy's Laboratories Ltd</v>
          </cell>
          <cell r="C317">
            <v>0</v>
          </cell>
          <cell r="D317">
            <v>0.38551000000000002</v>
          </cell>
          <cell r="E317">
            <v>-0.38551000000000002</v>
          </cell>
          <cell r="F317">
            <v>0</v>
          </cell>
          <cell r="G317">
            <v>0.38564399999999999</v>
          </cell>
        </row>
        <row r="318">
          <cell r="B318" t="str">
            <v>Dr. Lal PathLabs Ltd</v>
          </cell>
          <cell r="C318">
            <v>0.61585999999999996</v>
          </cell>
          <cell r="D318">
            <v>5.7079999999999999E-2</v>
          </cell>
          <cell r="E318">
            <v>0.55878000000000005</v>
          </cell>
          <cell r="F318">
            <v>0.70943699999999998</v>
          </cell>
          <cell r="G318">
            <v>5.7099999999999998E-2</v>
          </cell>
        </row>
        <row r="319">
          <cell r="B319" t="str">
            <v>Emcure Pharmaceuticals Ltd</v>
          </cell>
          <cell r="C319">
            <v>0</v>
          </cell>
          <cell r="D319">
            <v>2.0209999999999999E-2</v>
          </cell>
          <cell r="E319">
            <v>-2.0209999999999999E-2</v>
          </cell>
          <cell r="F319">
            <v>0</v>
          </cell>
          <cell r="G319">
            <v>2.0216999999999999E-2</v>
          </cell>
        </row>
        <row r="320">
          <cell r="B320" t="str">
            <v>Eris Lifesciences Ltd Registered Shs</v>
          </cell>
          <cell r="C320">
            <v>0</v>
          </cell>
          <cell r="D320">
            <v>4.0460000000000003E-2</v>
          </cell>
          <cell r="E320">
            <v>-4.0460000000000003E-2</v>
          </cell>
          <cell r="F320">
            <v>0</v>
          </cell>
          <cell r="G320">
            <v>4.0474000000000003E-2</v>
          </cell>
        </row>
        <row r="321">
          <cell r="B321" t="str">
            <v>Fortis Healthcare Ltd</v>
          </cell>
          <cell r="C321">
            <v>0</v>
          </cell>
          <cell r="D321">
            <v>0.22925000000000001</v>
          </cell>
          <cell r="E321">
            <v>-0.22925000000000001</v>
          </cell>
          <cell r="F321">
            <v>0</v>
          </cell>
          <cell r="G321">
            <v>0.22933000000000001</v>
          </cell>
        </row>
        <row r="322">
          <cell r="B322" t="str">
            <v>Gland Pharma Ltd</v>
          </cell>
          <cell r="C322">
            <v>0</v>
          </cell>
          <cell r="D322">
            <v>6.8159999999999998E-2</v>
          </cell>
          <cell r="E322">
            <v>-6.8159999999999998E-2</v>
          </cell>
          <cell r="F322">
            <v>0</v>
          </cell>
          <cell r="G322">
            <v>6.8183999999999995E-2</v>
          </cell>
        </row>
        <row r="323">
          <cell r="B323" t="str">
            <v>GlaxoSmithKline Pharmaceuticals Ltd</v>
          </cell>
          <cell r="C323">
            <v>0</v>
          </cell>
          <cell r="D323">
            <v>5.0880000000000002E-2</v>
          </cell>
          <cell r="E323">
            <v>-5.0880000000000002E-2</v>
          </cell>
          <cell r="F323">
            <v>0</v>
          </cell>
          <cell r="G323">
            <v>5.0897999999999999E-2</v>
          </cell>
        </row>
        <row r="324">
          <cell r="B324" t="str">
            <v>Glenmark Pharmaceuticals Ltd</v>
          </cell>
          <cell r="C324">
            <v>0</v>
          </cell>
          <cell r="D324">
            <v>0.15246999999999999</v>
          </cell>
          <cell r="E324">
            <v>-0.15246999999999999</v>
          </cell>
          <cell r="F324">
            <v>0</v>
          </cell>
          <cell r="G324">
            <v>0.15252299999999999</v>
          </cell>
        </row>
        <row r="325">
          <cell r="B325" t="str">
            <v>Global Health Ltd</v>
          </cell>
          <cell r="C325">
            <v>0</v>
          </cell>
          <cell r="D325">
            <v>4.9950000000000001E-2</v>
          </cell>
          <cell r="E325">
            <v>-4.9950000000000001E-2</v>
          </cell>
          <cell r="F325">
            <v>0</v>
          </cell>
          <cell r="G325">
            <v>4.9966999999999998E-2</v>
          </cell>
        </row>
        <row r="326">
          <cell r="B326" t="str">
            <v>Granules India Ltd</v>
          </cell>
          <cell r="C326">
            <v>0</v>
          </cell>
          <cell r="D326">
            <v>4.3229999999999998E-2</v>
          </cell>
          <cell r="E326">
            <v>-4.3229999999999998E-2</v>
          </cell>
          <cell r="F326">
            <v>0</v>
          </cell>
          <cell r="G326">
            <v>4.3244999999999999E-2</v>
          </cell>
        </row>
        <row r="327">
          <cell r="B327" t="str">
            <v>Indegene Ltd</v>
          </cell>
          <cell r="C327">
            <v>0</v>
          </cell>
          <cell r="D327">
            <v>2.6620000000000001E-2</v>
          </cell>
          <cell r="E327">
            <v>-2.6620000000000001E-2</v>
          </cell>
          <cell r="F327">
            <v>0</v>
          </cell>
          <cell r="G327">
            <v>2.6629E-2</v>
          </cell>
        </row>
        <row r="328">
          <cell r="B328" t="str">
            <v>Inventurus Knowledge Solutions Ltd</v>
          </cell>
          <cell r="C328">
            <v>0</v>
          </cell>
          <cell r="D328">
            <v>3.9949999999999999E-2</v>
          </cell>
          <cell r="E328">
            <v>-3.9949999999999999E-2</v>
          </cell>
          <cell r="F328">
            <v>0</v>
          </cell>
          <cell r="G328">
            <v>3.9964E-2</v>
          </cell>
        </row>
        <row r="329">
          <cell r="B329" t="str">
            <v>Ipca Laboratories Ltd</v>
          </cell>
          <cell r="C329">
            <v>0</v>
          </cell>
          <cell r="D329">
            <v>9.8159999999999997E-2</v>
          </cell>
          <cell r="E329">
            <v>-9.8159999999999997E-2</v>
          </cell>
          <cell r="F329">
            <v>0</v>
          </cell>
          <cell r="G329">
            <v>9.8194000000000004E-2</v>
          </cell>
        </row>
        <row r="330">
          <cell r="B330" t="str">
            <v>J.B. Chemicals &amp; Pharmaceuticals Ltd</v>
          </cell>
          <cell r="C330">
            <v>0</v>
          </cell>
          <cell r="D330">
            <v>7.3999999999999996E-2</v>
          </cell>
          <cell r="E330">
            <v>-7.3999999999999996E-2</v>
          </cell>
          <cell r="F330">
            <v>0</v>
          </cell>
          <cell r="G330">
            <v>7.4025999999999995E-2</v>
          </cell>
        </row>
        <row r="331">
          <cell r="B331" t="str">
            <v>Jubilant Pharmova Ltd</v>
          </cell>
          <cell r="C331">
            <v>0</v>
          </cell>
          <cell r="D331">
            <v>4.2979999999999997E-2</v>
          </cell>
          <cell r="E331">
            <v>-4.2979999999999997E-2</v>
          </cell>
          <cell r="F331">
            <v>0</v>
          </cell>
          <cell r="G331">
            <v>4.2994999999999998E-2</v>
          </cell>
        </row>
        <row r="332">
          <cell r="B332" t="str">
            <v>Krishna Institute of Medical Sciences Ltd</v>
          </cell>
          <cell r="C332">
            <v>0</v>
          </cell>
          <cell r="D332">
            <v>7.4770000000000003E-2</v>
          </cell>
          <cell r="E332">
            <v>-7.4770000000000003E-2</v>
          </cell>
          <cell r="F332">
            <v>0</v>
          </cell>
          <cell r="G332">
            <v>7.4796000000000001E-2</v>
          </cell>
        </row>
        <row r="333">
          <cell r="B333" t="str">
            <v>Laurus Labs Ltd</v>
          </cell>
          <cell r="C333">
            <v>0</v>
          </cell>
          <cell r="D333">
            <v>0.21421999999999999</v>
          </cell>
          <cell r="E333">
            <v>-0.21421999999999999</v>
          </cell>
          <cell r="F333">
            <v>0</v>
          </cell>
          <cell r="G333">
            <v>0.21429500000000001</v>
          </cell>
        </row>
        <row r="334">
          <cell r="B334" t="str">
            <v>Lupin Ltd</v>
          </cell>
          <cell r="C334">
            <v>0.92008000000000001</v>
          </cell>
          <cell r="D334">
            <v>0.25447999999999998</v>
          </cell>
          <cell r="E334">
            <v>0.66559999999999997</v>
          </cell>
          <cell r="F334">
            <v>1.059882</v>
          </cell>
          <cell r="G334">
            <v>0.25456899999999999</v>
          </cell>
        </row>
        <row r="335">
          <cell r="B335" t="str">
            <v>Mankind Pharma Ltd</v>
          </cell>
          <cell r="C335">
            <v>0</v>
          </cell>
          <cell r="D335">
            <v>0.1236</v>
          </cell>
          <cell r="E335">
            <v>-0.1236</v>
          </cell>
          <cell r="F335">
            <v>0</v>
          </cell>
          <cell r="G335">
            <v>0.123643</v>
          </cell>
        </row>
        <row r="336">
          <cell r="B336" t="str">
            <v>Max Healthcare Institute Ltd Ordinary Shares</v>
          </cell>
          <cell r="C336">
            <v>0</v>
          </cell>
          <cell r="D336">
            <v>0.38668999999999998</v>
          </cell>
          <cell r="E336">
            <v>-0.38668999999999998</v>
          </cell>
          <cell r="F336">
            <v>0</v>
          </cell>
          <cell r="G336">
            <v>0.38682499999999997</v>
          </cell>
        </row>
        <row r="337">
          <cell r="B337" t="str">
            <v>Metropolis Healthcare Ltd</v>
          </cell>
          <cell r="C337">
            <v>0.32551000000000002</v>
          </cell>
          <cell r="D337">
            <v>2.4920000000000001E-2</v>
          </cell>
          <cell r="E337">
            <v>0.30059000000000002</v>
          </cell>
          <cell r="F337">
            <v>0.37497000000000003</v>
          </cell>
          <cell r="G337">
            <v>2.4929E-2</v>
          </cell>
        </row>
        <row r="338">
          <cell r="B338" t="str">
            <v>Narayana Hrudayalaya Ltd</v>
          </cell>
          <cell r="C338">
            <v>0</v>
          </cell>
          <cell r="D338">
            <v>6.3950000000000007E-2</v>
          </cell>
          <cell r="E338">
            <v>-6.3950000000000007E-2</v>
          </cell>
          <cell r="F338">
            <v>0</v>
          </cell>
          <cell r="G338">
            <v>6.3972000000000001E-2</v>
          </cell>
        </row>
        <row r="339">
          <cell r="B339" t="str">
            <v>Natco Pharma Ltd</v>
          </cell>
          <cell r="C339">
            <v>0</v>
          </cell>
          <cell r="D339">
            <v>4.0309999999999999E-2</v>
          </cell>
          <cell r="E339">
            <v>-4.0309999999999999E-2</v>
          </cell>
          <cell r="F339">
            <v>0</v>
          </cell>
          <cell r="G339">
            <v>4.0323999999999999E-2</v>
          </cell>
        </row>
        <row r="340">
          <cell r="B340" t="str">
            <v>Neuland Laboratories Ltd</v>
          </cell>
          <cell r="C340">
            <v>0</v>
          </cell>
          <cell r="D340">
            <v>6.4619999999999997E-2</v>
          </cell>
          <cell r="E340">
            <v>-6.4619999999999997E-2</v>
          </cell>
          <cell r="F340">
            <v>0</v>
          </cell>
          <cell r="G340">
            <v>6.4643000000000006E-2</v>
          </cell>
        </row>
        <row r="341">
          <cell r="B341" t="str">
            <v>OneSource Specialty Pharma Ltd</v>
          </cell>
          <cell r="C341">
            <v>0</v>
          </cell>
          <cell r="D341">
            <v>4.9849999999999998E-2</v>
          </cell>
          <cell r="E341">
            <v>-4.9849999999999998E-2</v>
          </cell>
          <cell r="F341">
            <v>0</v>
          </cell>
          <cell r="G341">
            <v>4.9867000000000002E-2</v>
          </cell>
        </row>
        <row r="342">
          <cell r="B342" t="str">
            <v>Pfizer Ltd</v>
          </cell>
          <cell r="C342">
            <v>0</v>
          </cell>
          <cell r="D342">
            <v>3.7589999999999998E-2</v>
          </cell>
          <cell r="E342">
            <v>-3.7589999999999998E-2</v>
          </cell>
          <cell r="F342">
            <v>0</v>
          </cell>
          <cell r="G342">
            <v>3.7602999999999998E-2</v>
          </cell>
        </row>
        <row r="343">
          <cell r="B343" t="str">
            <v>Piramal Pharma Ltd</v>
          </cell>
          <cell r="C343">
            <v>1.6095200000000001</v>
          </cell>
          <cell r="D343">
            <v>5.3030000000000001E-2</v>
          </cell>
          <cell r="E343">
            <v>1.5564899999999999</v>
          </cell>
          <cell r="F343">
            <v>1.854079</v>
          </cell>
          <cell r="G343">
            <v>5.3047999999999998E-2</v>
          </cell>
        </row>
        <row r="344">
          <cell r="B344" t="str">
            <v>Poly Medicure Ltd</v>
          </cell>
          <cell r="C344">
            <v>0</v>
          </cell>
          <cell r="D344">
            <v>3.3750000000000002E-2</v>
          </cell>
          <cell r="E344">
            <v>-3.3750000000000002E-2</v>
          </cell>
          <cell r="F344">
            <v>0</v>
          </cell>
          <cell r="G344">
            <v>3.3762E-2</v>
          </cell>
        </row>
        <row r="345">
          <cell r="B345" t="str">
            <v>Rainbow Childrens Medicare Ltd</v>
          </cell>
          <cell r="C345">
            <v>0</v>
          </cell>
          <cell r="D345">
            <v>3.2820000000000002E-2</v>
          </cell>
          <cell r="E345">
            <v>-3.2820000000000002E-2</v>
          </cell>
          <cell r="F345">
            <v>0</v>
          </cell>
          <cell r="G345">
            <v>3.2830999999999999E-2</v>
          </cell>
        </row>
        <row r="346">
          <cell r="B346" t="str">
            <v>Sagility Ltd</v>
          </cell>
          <cell r="C346">
            <v>0</v>
          </cell>
          <cell r="D346">
            <v>3.9640000000000002E-2</v>
          </cell>
          <cell r="E346">
            <v>-3.9640000000000002E-2</v>
          </cell>
          <cell r="F346">
            <v>0</v>
          </cell>
          <cell r="G346">
            <v>3.9654000000000002E-2</v>
          </cell>
        </row>
        <row r="347">
          <cell r="B347" t="str">
            <v>Sai Life Sciences Ltd</v>
          </cell>
          <cell r="C347">
            <v>0</v>
          </cell>
          <cell r="D347">
            <v>6.1949999999999998E-2</v>
          </cell>
          <cell r="E347">
            <v>-6.1949999999999998E-2</v>
          </cell>
          <cell r="F347">
            <v>0</v>
          </cell>
          <cell r="G347">
            <v>6.1971999999999999E-2</v>
          </cell>
        </row>
        <row r="348">
          <cell r="B348" t="str">
            <v>Sun Pharmaceuticals Industries Ltd</v>
          </cell>
          <cell r="C348">
            <v>0</v>
          </cell>
          <cell r="D348">
            <v>0.90600999999999998</v>
          </cell>
          <cell r="E348">
            <v>-0.90600999999999998</v>
          </cell>
          <cell r="F348">
            <v>0</v>
          </cell>
          <cell r="G348">
            <v>0.90632500000000005</v>
          </cell>
        </row>
        <row r="349">
          <cell r="B349" t="str">
            <v>Syngene International Ltd</v>
          </cell>
          <cell r="C349">
            <v>0</v>
          </cell>
          <cell r="D349">
            <v>6.1440000000000002E-2</v>
          </cell>
          <cell r="E349">
            <v>-6.1440000000000002E-2</v>
          </cell>
          <cell r="F349">
            <v>0</v>
          </cell>
          <cell r="G349">
            <v>6.1461000000000002E-2</v>
          </cell>
        </row>
        <row r="350">
          <cell r="B350" t="str">
            <v>Torrent Pharmaceuticals Ltd</v>
          </cell>
          <cell r="C350">
            <v>0</v>
          </cell>
          <cell r="D350">
            <v>0.20041999999999999</v>
          </cell>
          <cell r="E350">
            <v>-0.20041999999999999</v>
          </cell>
          <cell r="F350">
            <v>0</v>
          </cell>
          <cell r="G350">
            <v>0.20049</v>
          </cell>
        </row>
        <row r="351">
          <cell r="B351" t="str">
            <v>Vijaya Diagnostic Centre Ltd</v>
          </cell>
          <cell r="C351">
            <v>0</v>
          </cell>
          <cell r="D351">
            <v>2.58E-2</v>
          </cell>
          <cell r="E351">
            <v>-2.58E-2</v>
          </cell>
          <cell r="F351">
            <v>0</v>
          </cell>
          <cell r="G351">
            <v>2.5808999999999999E-2</v>
          </cell>
        </row>
        <row r="352">
          <cell r="B352" t="str">
            <v>Wockhardt Ltd</v>
          </cell>
          <cell r="C352">
            <v>0</v>
          </cell>
          <cell r="D352">
            <v>5.9389999999999998E-2</v>
          </cell>
          <cell r="E352">
            <v>-5.9389999999999998E-2</v>
          </cell>
          <cell r="F352">
            <v>0</v>
          </cell>
          <cell r="G352">
            <v>5.9410999999999999E-2</v>
          </cell>
        </row>
        <row r="353">
          <cell r="B353" t="str">
            <v>Zydus Lifesciences Ltd</v>
          </cell>
          <cell r="C353">
            <v>0</v>
          </cell>
          <cell r="D353">
            <v>0.11385000000000001</v>
          </cell>
          <cell r="E353">
            <v>-0.11385000000000001</v>
          </cell>
          <cell r="F353">
            <v>0</v>
          </cell>
          <cell r="G353">
            <v>0.11389000000000001</v>
          </cell>
        </row>
        <row r="354">
          <cell r="C354">
            <v>4.7603600000000004</v>
          </cell>
          <cell r="D354">
            <v>10.58977</v>
          </cell>
          <cell r="E354">
            <v>-5.8294100000000002</v>
          </cell>
          <cell r="F354">
            <v>5.4836749999999999</v>
          </cell>
          <cell r="G354">
            <v>10.593458</v>
          </cell>
        </row>
        <row r="355">
          <cell r="B355" t="str">
            <v>3M India Ltd</v>
          </cell>
          <cell r="C355">
            <v>0</v>
          </cell>
          <cell r="D355">
            <v>4.8619999999999997E-2</v>
          </cell>
          <cell r="E355">
            <v>-4.8619999999999997E-2</v>
          </cell>
          <cell r="F355">
            <v>0</v>
          </cell>
          <cell r="G355">
            <v>4.8637E-2</v>
          </cell>
        </row>
        <row r="356">
          <cell r="B356" t="str">
            <v>ABB India Ltd</v>
          </cell>
          <cell r="C356">
            <v>0</v>
          </cell>
          <cell r="D356">
            <v>0.13497999999999999</v>
          </cell>
          <cell r="E356">
            <v>-0.13497999999999999</v>
          </cell>
          <cell r="F356">
            <v>0</v>
          </cell>
          <cell r="G356">
            <v>0.13502700000000001</v>
          </cell>
        </row>
        <row r="357">
          <cell r="B357" t="str">
            <v>Action Construction Equipment Ltd</v>
          </cell>
          <cell r="C357">
            <v>0</v>
          </cell>
          <cell r="D357">
            <v>1.9390000000000001E-2</v>
          </cell>
          <cell r="E357">
            <v>-1.9390000000000001E-2</v>
          </cell>
          <cell r="F357">
            <v>0</v>
          </cell>
          <cell r="G357">
            <v>1.9397000000000001E-2</v>
          </cell>
        </row>
        <row r="358">
          <cell r="B358" t="str">
            <v>Adani Ports &amp; Special Economic Zone Ltd</v>
          </cell>
          <cell r="C358">
            <v>0</v>
          </cell>
          <cell r="D358">
            <v>0.50602999999999998</v>
          </cell>
          <cell r="E358">
            <v>-0.50602999999999998</v>
          </cell>
          <cell r="F358">
            <v>0</v>
          </cell>
          <cell r="G358">
            <v>0.50620600000000004</v>
          </cell>
        </row>
        <row r="359">
          <cell r="B359" t="str">
            <v>Afcons Infrastructure Ltd</v>
          </cell>
          <cell r="C359">
            <v>0</v>
          </cell>
          <cell r="D359">
            <v>2.8819999999999998E-2</v>
          </cell>
          <cell r="E359">
            <v>-2.8819999999999998E-2</v>
          </cell>
          <cell r="F359">
            <v>0</v>
          </cell>
          <cell r="G359">
            <v>2.8830000000000001E-2</v>
          </cell>
        </row>
        <row r="360">
          <cell r="B360" t="str">
            <v>AIA Engineering Ltd</v>
          </cell>
          <cell r="C360">
            <v>0</v>
          </cell>
          <cell r="D360">
            <v>7.7700000000000005E-2</v>
          </cell>
          <cell r="E360">
            <v>-7.7700000000000005E-2</v>
          </cell>
          <cell r="F360">
            <v>0</v>
          </cell>
          <cell r="G360">
            <v>7.7727000000000004E-2</v>
          </cell>
        </row>
        <row r="361">
          <cell r="B361" t="str">
            <v>Amara Raja Energy &amp; Mobility Ltd</v>
          </cell>
          <cell r="C361">
            <v>0</v>
          </cell>
          <cell r="D361">
            <v>5.5440000000000003E-2</v>
          </cell>
          <cell r="E361">
            <v>-5.5440000000000003E-2</v>
          </cell>
          <cell r="F361">
            <v>0</v>
          </cell>
          <cell r="G361">
            <v>5.5459000000000001E-2</v>
          </cell>
        </row>
        <row r="362">
          <cell r="B362" t="str">
            <v>Apar Industries Ltd</v>
          </cell>
          <cell r="C362">
            <v>0</v>
          </cell>
          <cell r="D362">
            <v>7.0360000000000006E-2</v>
          </cell>
          <cell r="E362">
            <v>-7.0360000000000006E-2</v>
          </cell>
          <cell r="F362">
            <v>0</v>
          </cell>
          <cell r="G362">
            <v>7.0385000000000003E-2</v>
          </cell>
        </row>
        <row r="363">
          <cell r="B363" t="str">
            <v>Ashok Leyland Ltd</v>
          </cell>
          <cell r="C363">
            <v>0.38146999999999998</v>
          </cell>
          <cell r="D363">
            <v>0.25508999999999998</v>
          </cell>
          <cell r="E363">
            <v>0.12637999999999999</v>
          </cell>
          <cell r="F363">
            <v>0.43943300000000002</v>
          </cell>
          <cell r="G363">
            <v>0.25517899999999999</v>
          </cell>
        </row>
        <row r="364">
          <cell r="B364" t="str">
            <v>Astral Ltd</v>
          </cell>
          <cell r="C364">
            <v>0</v>
          </cell>
          <cell r="D364">
            <v>8.4669999999999995E-2</v>
          </cell>
          <cell r="E364">
            <v>-8.4669999999999995E-2</v>
          </cell>
          <cell r="F364">
            <v>0</v>
          </cell>
          <cell r="G364">
            <v>8.4698999999999997E-2</v>
          </cell>
        </row>
        <row r="365">
          <cell r="B365" t="str">
            <v>BEML Ltd</v>
          </cell>
          <cell r="C365">
            <v>0</v>
          </cell>
          <cell r="D365">
            <v>3.5389999999999998E-2</v>
          </cell>
          <cell r="E365">
            <v>-3.5389999999999998E-2</v>
          </cell>
          <cell r="F365">
            <v>0</v>
          </cell>
          <cell r="G365">
            <v>3.5402000000000003E-2</v>
          </cell>
        </row>
        <row r="366">
          <cell r="B366" t="str">
            <v>Bharat Dynamics Ltd Ordinary Shares</v>
          </cell>
          <cell r="C366">
            <v>0</v>
          </cell>
          <cell r="D366">
            <v>6.7239999999999994E-2</v>
          </cell>
          <cell r="E366">
            <v>-6.7239999999999994E-2</v>
          </cell>
          <cell r="F366">
            <v>0</v>
          </cell>
          <cell r="G366">
            <v>6.7263000000000003E-2</v>
          </cell>
        </row>
        <row r="367">
          <cell r="B367" t="str">
            <v>Bharat Electronics Ltd</v>
          </cell>
          <cell r="C367">
            <v>0</v>
          </cell>
          <cell r="D367">
            <v>0.71214999999999995</v>
          </cell>
          <cell r="E367">
            <v>-0.71214999999999995</v>
          </cell>
          <cell r="F367">
            <v>0</v>
          </cell>
          <cell r="G367">
            <v>0.71239799999999998</v>
          </cell>
        </row>
        <row r="368">
          <cell r="B368" t="str">
            <v>Bharat Heavy Electricals Ltd</v>
          </cell>
          <cell r="C368">
            <v>0</v>
          </cell>
          <cell r="D368">
            <v>0.18381</v>
          </cell>
          <cell r="E368">
            <v>-0.18381</v>
          </cell>
          <cell r="F368">
            <v>0</v>
          </cell>
          <cell r="G368">
            <v>0.18387400000000001</v>
          </cell>
        </row>
        <row r="369">
          <cell r="B369" t="str">
            <v>BLS International Services Ltd</v>
          </cell>
          <cell r="C369">
            <v>0</v>
          </cell>
          <cell r="D369">
            <v>1.9390000000000001E-2</v>
          </cell>
          <cell r="E369">
            <v>-1.9390000000000001E-2</v>
          </cell>
          <cell r="F369">
            <v>0</v>
          </cell>
          <cell r="G369">
            <v>1.9397000000000001E-2</v>
          </cell>
        </row>
        <row r="370">
          <cell r="B370" t="str">
            <v>Blue Dart Express Ltd</v>
          </cell>
          <cell r="C370">
            <v>0</v>
          </cell>
          <cell r="D370">
            <v>1.6150000000000001E-2</v>
          </cell>
          <cell r="E370">
            <v>-1.6150000000000001E-2</v>
          </cell>
          <cell r="F370">
            <v>0</v>
          </cell>
          <cell r="G370">
            <v>1.6156E-2</v>
          </cell>
        </row>
        <row r="371">
          <cell r="B371" t="str">
            <v>Blue Star Ltd</v>
          </cell>
          <cell r="C371">
            <v>0</v>
          </cell>
          <cell r="D371">
            <v>0.11175</v>
          </cell>
          <cell r="E371">
            <v>-0.11175</v>
          </cell>
          <cell r="F371">
            <v>0</v>
          </cell>
          <cell r="G371">
            <v>0.111789</v>
          </cell>
        </row>
        <row r="372">
          <cell r="B372" t="str">
            <v>Carborundum Universal Ltd</v>
          </cell>
          <cell r="C372">
            <v>0</v>
          </cell>
          <cell r="D372">
            <v>4.9180000000000001E-2</v>
          </cell>
          <cell r="E372">
            <v>-4.9180000000000001E-2</v>
          </cell>
          <cell r="F372">
            <v>0</v>
          </cell>
          <cell r="G372">
            <v>4.9196999999999998E-2</v>
          </cell>
        </row>
        <row r="373">
          <cell r="B373" t="str">
            <v>Cera Sanitaryware Ltd</v>
          </cell>
          <cell r="C373">
            <v>0</v>
          </cell>
          <cell r="D373">
            <v>1.503E-2</v>
          </cell>
          <cell r="E373">
            <v>-1.503E-2</v>
          </cell>
          <cell r="F373">
            <v>0</v>
          </cell>
          <cell r="G373">
            <v>1.5035E-2</v>
          </cell>
        </row>
        <row r="374">
          <cell r="B374" t="str">
            <v>CG Power &amp; Industrial Solutions Ltd</v>
          </cell>
          <cell r="C374">
            <v>0</v>
          </cell>
          <cell r="D374">
            <v>0.22134999999999999</v>
          </cell>
          <cell r="E374">
            <v>-0.22134999999999999</v>
          </cell>
          <cell r="F374">
            <v>0</v>
          </cell>
          <cell r="G374">
            <v>0.22142700000000001</v>
          </cell>
        </row>
        <row r="375">
          <cell r="B375" t="str">
            <v>Cochin Shipyard Ltd</v>
          </cell>
          <cell r="C375">
            <v>0</v>
          </cell>
          <cell r="D375">
            <v>6.8210000000000007E-2</v>
          </cell>
          <cell r="E375">
            <v>-6.8210000000000007E-2</v>
          </cell>
          <cell r="F375">
            <v>0</v>
          </cell>
          <cell r="G375">
            <v>6.8234000000000003E-2</v>
          </cell>
        </row>
        <row r="376">
          <cell r="B376" t="str">
            <v>Container Corporation of India Ltd</v>
          </cell>
          <cell r="C376">
            <v>0</v>
          </cell>
          <cell r="D376">
            <v>9.0160000000000004E-2</v>
          </cell>
          <cell r="E376">
            <v>-9.0160000000000004E-2</v>
          </cell>
          <cell r="F376">
            <v>0</v>
          </cell>
          <cell r="G376">
            <v>9.0190999999999993E-2</v>
          </cell>
        </row>
        <row r="377">
          <cell r="B377" t="str">
            <v>Cummins India Ltd</v>
          </cell>
          <cell r="C377">
            <v>0</v>
          </cell>
          <cell r="D377">
            <v>0.29812</v>
          </cell>
          <cell r="E377">
            <v>-0.29812</v>
          </cell>
          <cell r="F377">
            <v>0</v>
          </cell>
          <cell r="G377">
            <v>0.29822399999999999</v>
          </cell>
        </row>
        <row r="378">
          <cell r="B378" t="str">
            <v>Cyient Ltd</v>
          </cell>
          <cell r="C378">
            <v>0.63844000000000001</v>
          </cell>
          <cell r="D378">
            <v>4.7079999999999997E-2</v>
          </cell>
          <cell r="E378">
            <v>0.59136</v>
          </cell>
          <cell r="F378">
            <v>0.73544799999999999</v>
          </cell>
          <cell r="G378">
            <v>4.7095999999999999E-2</v>
          </cell>
        </row>
        <row r="379">
          <cell r="B379" t="str">
            <v>Data Patterns (India) Ltd</v>
          </cell>
          <cell r="C379">
            <v>0</v>
          </cell>
          <cell r="D379">
            <v>3.8670000000000003E-2</v>
          </cell>
          <cell r="E379">
            <v>-3.8670000000000003E-2</v>
          </cell>
          <cell r="F379">
            <v>0</v>
          </cell>
          <cell r="G379">
            <v>3.8683000000000002E-2</v>
          </cell>
        </row>
        <row r="380">
          <cell r="B380" t="str">
            <v>DCM Shriram Ltd</v>
          </cell>
          <cell r="C380">
            <v>0</v>
          </cell>
          <cell r="D380">
            <v>2.477E-2</v>
          </cell>
          <cell r="E380">
            <v>-2.477E-2</v>
          </cell>
          <cell r="F380">
            <v>0</v>
          </cell>
          <cell r="G380">
            <v>2.4778999999999999E-2</v>
          </cell>
        </row>
        <row r="381">
          <cell r="B381" t="str">
            <v>Delhivery Ltd</v>
          </cell>
          <cell r="C381">
            <v>0</v>
          </cell>
          <cell r="D381">
            <v>0.10944</v>
          </cell>
          <cell r="E381">
            <v>-0.10944</v>
          </cell>
          <cell r="F381">
            <v>0</v>
          </cell>
          <cell r="G381">
            <v>0.10947800000000001</v>
          </cell>
        </row>
        <row r="382">
          <cell r="B382" t="str">
            <v>DOMS Industries Ltd</v>
          </cell>
          <cell r="C382">
            <v>0</v>
          </cell>
          <cell r="D382">
            <v>2.349E-2</v>
          </cell>
          <cell r="E382">
            <v>-2.349E-2</v>
          </cell>
          <cell r="F382">
            <v>0</v>
          </cell>
          <cell r="G382">
            <v>2.3498000000000002E-2</v>
          </cell>
        </row>
        <row r="383">
          <cell r="B383" t="str">
            <v>Elecon Engineering Co Ltd</v>
          </cell>
          <cell r="C383">
            <v>0</v>
          </cell>
          <cell r="D383">
            <v>2.1080000000000002E-2</v>
          </cell>
          <cell r="E383">
            <v>-2.1080000000000002E-2</v>
          </cell>
          <cell r="F383">
            <v>0</v>
          </cell>
          <cell r="G383">
            <v>2.1087000000000002E-2</v>
          </cell>
        </row>
        <row r="384">
          <cell r="B384" t="str">
            <v>Elgi Equipments Ltd</v>
          </cell>
          <cell r="C384">
            <v>0</v>
          </cell>
          <cell r="D384">
            <v>5.0770000000000003E-2</v>
          </cell>
          <cell r="E384">
            <v>-5.0770000000000003E-2</v>
          </cell>
          <cell r="F384">
            <v>0</v>
          </cell>
          <cell r="G384">
            <v>5.0788E-2</v>
          </cell>
        </row>
        <row r="385">
          <cell r="B385" t="str">
            <v>Engineers India Ltd</v>
          </cell>
          <cell r="C385">
            <v>0</v>
          </cell>
          <cell r="D385">
            <v>2.7439999999999999E-2</v>
          </cell>
          <cell r="E385">
            <v>-2.7439999999999999E-2</v>
          </cell>
          <cell r="F385">
            <v>0</v>
          </cell>
          <cell r="G385">
            <v>2.7449999999999999E-2</v>
          </cell>
        </row>
        <row r="386">
          <cell r="B386" t="str">
            <v>Escorts Kubota Ltd</v>
          </cell>
          <cell r="C386">
            <v>0.46355000000000002</v>
          </cell>
          <cell r="D386">
            <v>6.1440000000000002E-2</v>
          </cell>
          <cell r="E386">
            <v>0.40211000000000002</v>
          </cell>
          <cell r="F386">
            <v>0.53398400000000001</v>
          </cell>
          <cell r="G386">
            <v>6.1461000000000002E-2</v>
          </cell>
        </row>
        <row r="387">
          <cell r="B387" t="str">
            <v>Finolex Cables Ltd</v>
          </cell>
          <cell r="C387">
            <v>0</v>
          </cell>
          <cell r="D387">
            <v>2.826E-2</v>
          </cell>
          <cell r="E387">
            <v>-2.826E-2</v>
          </cell>
          <cell r="F387">
            <v>0</v>
          </cell>
          <cell r="G387">
            <v>2.827E-2</v>
          </cell>
        </row>
        <row r="388">
          <cell r="B388" t="str">
            <v>Finolex Industries Ltd</v>
          </cell>
          <cell r="C388">
            <v>0</v>
          </cell>
          <cell r="D388">
            <v>2.436E-2</v>
          </cell>
          <cell r="E388">
            <v>-2.436E-2</v>
          </cell>
          <cell r="F388">
            <v>0</v>
          </cell>
          <cell r="G388">
            <v>2.4368000000000001E-2</v>
          </cell>
        </row>
        <row r="389">
          <cell r="B389" t="str">
            <v>Garden Reach Shipbuilders &amp; Engineers Ltd</v>
          </cell>
          <cell r="C389">
            <v>0</v>
          </cell>
          <cell r="D389">
            <v>3.5589999999999997E-2</v>
          </cell>
          <cell r="E389">
            <v>-3.5589999999999997E-2</v>
          </cell>
          <cell r="F389">
            <v>0</v>
          </cell>
          <cell r="G389">
            <v>3.5602000000000002E-2</v>
          </cell>
        </row>
        <row r="390">
          <cell r="B390" t="str">
            <v>GE Vernova T&amp;D India Ltd</v>
          </cell>
          <cell r="C390">
            <v>0</v>
          </cell>
          <cell r="D390">
            <v>0.19309000000000001</v>
          </cell>
          <cell r="E390">
            <v>-0.19309000000000001</v>
          </cell>
          <cell r="F390">
            <v>0</v>
          </cell>
          <cell r="G390">
            <v>0.193157</v>
          </cell>
        </row>
        <row r="391">
          <cell r="B391" t="str">
            <v>GMR Airports Ltd</v>
          </cell>
          <cell r="C391">
            <v>0</v>
          </cell>
          <cell r="D391">
            <v>0.18529000000000001</v>
          </cell>
          <cell r="E391">
            <v>-0.18529000000000001</v>
          </cell>
          <cell r="F391">
            <v>0</v>
          </cell>
          <cell r="G391">
            <v>0.18535499999999999</v>
          </cell>
        </row>
        <row r="392">
          <cell r="B392" t="str">
            <v>Godrej Industries Ltd</v>
          </cell>
          <cell r="C392">
            <v>0</v>
          </cell>
          <cell r="D392">
            <v>2.154E-2</v>
          </cell>
          <cell r="E392">
            <v>-2.154E-2</v>
          </cell>
          <cell r="F392">
            <v>0</v>
          </cell>
          <cell r="G392">
            <v>2.1548000000000001E-2</v>
          </cell>
        </row>
        <row r="393">
          <cell r="B393" t="str">
            <v>Graphite India Ltd</v>
          </cell>
          <cell r="C393">
            <v>0</v>
          </cell>
          <cell r="D393">
            <v>2.128E-2</v>
          </cell>
          <cell r="E393">
            <v>-2.128E-2</v>
          </cell>
          <cell r="F393">
            <v>0</v>
          </cell>
          <cell r="G393">
            <v>2.1287E-2</v>
          </cell>
        </row>
        <row r="394">
          <cell r="B394" t="str">
            <v>Gravita India Ltd</v>
          </cell>
          <cell r="C394">
            <v>0</v>
          </cell>
          <cell r="D394">
            <v>2.9229999999999999E-2</v>
          </cell>
          <cell r="E394">
            <v>-2.9229999999999999E-2</v>
          </cell>
          <cell r="F394">
            <v>0</v>
          </cell>
          <cell r="G394">
            <v>2.9239999999999999E-2</v>
          </cell>
        </row>
        <row r="395">
          <cell r="B395" t="str">
            <v>Great Eastern Shipping Co Ltd</v>
          </cell>
          <cell r="C395">
            <v>0</v>
          </cell>
          <cell r="D395">
            <v>5.57E-2</v>
          </cell>
          <cell r="E395">
            <v>-5.57E-2</v>
          </cell>
          <cell r="F395">
            <v>0</v>
          </cell>
          <cell r="G395">
            <v>5.5718999999999998E-2</v>
          </cell>
        </row>
        <row r="396">
          <cell r="B396" t="str">
            <v>Havells India Ltd</v>
          </cell>
          <cell r="C396">
            <v>0.72506000000000004</v>
          </cell>
          <cell r="D396">
            <v>0.17882999999999999</v>
          </cell>
          <cell r="E396">
            <v>0.54622999999999999</v>
          </cell>
          <cell r="F396">
            <v>0.83523000000000003</v>
          </cell>
          <cell r="G396">
            <v>0.178892</v>
          </cell>
        </row>
        <row r="397">
          <cell r="B397" t="str">
            <v>HBL Engineering Ltd</v>
          </cell>
          <cell r="C397">
            <v>0</v>
          </cell>
          <cell r="D397">
            <v>5.1950000000000003E-2</v>
          </cell>
          <cell r="E397">
            <v>-5.1950000000000003E-2</v>
          </cell>
          <cell r="F397">
            <v>0</v>
          </cell>
          <cell r="G397">
            <v>5.1968E-2</v>
          </cell>
        </row>
        <row r="398">
          <cell r="B398" t="str">
            <v>HEG Ltd</v>
          </cell>
          <cell r="C398">
            <v>0</v>
          </cell>
          <cell r="D398">
            <v>2.6100000000000002E-2</v>
          </cell>
          <cell r="E398">
            <v>-2.6100000000000002E-2</v>
          </cell>
          <cell r="F398">
            <v>0</v>
          </cell>
          <cell r="G398">
            <v>2.6109E-2</v>
          </cell>
        </row>
        <row r="399">
          <cell r="B399" t="str">
            <v>Hindustan Aeronautics Ltd Ordinary Shares</v>
          </cell>
          <cell r="C399">
            <v>0</v>
          </cell>
          <cell r="D399">
            <v>0.41438999999999998</v>
          </cell>
          <cell r="E399">
            <v>-0.41438999999999998</v>
          </cell>
          <cell r="F399">
            <v>0</v>
          </cell>
          <cell r="G399">
            <v>0.41453400000000001</v>
          </cell>
        </row>
        <row r="400">
          <cell r="B400" t="str">
            <v>Hitachi Energy India Ltd Ordinary Shares</v>
          </cell>
          <cell r="C400">
            <v>0</v>
          </cell>
          <cell r="D400">
            <v>0.11549</v>
          </cell>
          <cell r="E400">
            <v>-0.11549</v>
          </cell>
          <cell r="F400">
            <v>0</v>
          </cell>
          <cell r="G400">
            <v>0.11552999999999999</v>
          </cell>
        </row>
        <row r="401">
          <cell r="B401" t="str">
            <v>Honeywell Automation India Ltd</v>
          </cell>
          <cell r="C401">
            <v>0</v>
          </cell>
          <cell r="D401">
            <v>3.5340000000000003E-2</v>
          </cell>
          <cell r="E401">
            <v>-3.5340000000000003E-2</v>
          </cell>
          <cell r="F401">
            <v>0</v>
          </cell>
          <cell r="G401">
            <v>3.5352000000000001E-2</v>
          </cell>
        </row>
        <row r="402">
          <cell r="B402" t="str">
            <v>INOX India Ltd</v>
          </cell>
          <cell r="C402">
            <v>0</v>
          </cell>
          <cell r="D402">
            <v>1.2670000000000001E-2</v>
          </cell>
          <cell r="E402">
            <v>-1.2670000000000001E-2</v>
          </cell>
          <cell r="F402">
            <v>0</v>
          </cell>
          <cell r="G402">
            <v>1.2674E-2</v>
          </cell>
        </row>
        <row r="403">
          <cell r="B403" t="str">
            <v>Inox Wind Ltd</v>
          </cell>
          <cell r="C403">
            <v>0</v>
          </cell>
          <cell r="D403">
            <v>5.9290000000000002E-2</v>
          </cell>
          <cell r="E403">
            <v>-5.9290000000000002E-2</v>
          </cell>
          <cell r="F403">
            <v>0</v>
          </cell>
          <cell r="G403">
            <v>5.9311000000000003E-2</v>
          </cell>
        </row>
        <row r="404">
          <cell r="B404" t="str">
            <v>InterGlobe Aviation Ltd</v>
          </cell>
          <cell r="C404">
            <v>1.0508299999999999</v>
          </cell>
          <cell r="D404">
            <v>0.56901000000000002</v>
          </cell>
          <cell r="E404">
            <v>0.48182000000000003</v>
          </cell>
          <cell r="F404">
            <v>1.210499</v>
          </cell>
          <cell r="G404">
            <v>0.56920800000000005</v>
          </cell>
        </row>
        <row r="405">
          <cell r="B405" t="str">
            <v>IRB Infrastructure Developers Ltd</v>
          </cell>
          <cell r="C405">
            <v>0</v>
          </cell>
          <cell r="D405">
            <v>4.1489999999999999E-2</v>
          </cell>
          <cell r="E405">
            <v>-4.1489999999999999E-2</v>
          </cell>
          <cell r="F405">
            <v>0</v>
          </cell>
          <cell r="G405">
            <v>4.1503999999999999E-2</v>
          </cell>
        </row>
        <row r="406">
          <cell r="B406" t="str">
            <v>IRCON International Ltd</v>
          </cell>
          <cell r="C406">
            <v>0</v>
          </cell>
          <cell r="D406">
            <v>2.8819999999999998E-2</v>
          </cell>
          <cell r="E406">
            <v>-2.8819999999999998E-2</v>
          </cell>
          <cell r="F406">
            <v>0</v>
          </cell>
          <cell r="G406">
            <v>2.8830000000000001E-2</v>
          </cell>
        </row>
        <row r="407">
          <cell r="B407" t="str">
            <v>JSW Infrastructure Ltd</v>
          </cell>
          <cell r="C407">
            <v>0</v>
          </cell>
          <cell r="D407">
            <v>4.58E-2</v>
          </cell>
          <cell r="E407">
            <v>-4.58E-2</v>
          </cell>
          <cell r="F407">
            <v>0</v>
          </cell>
          <cell r="G407">
            <v>4.5816000000000003E-2</v>
          </cell>
        </row>
        <row r="408">
          <cell r="B408" t="str">
            <v>Jupiter Wagons Ltd</v>
          </cell>
          <cell r="C408">
            <v>0</v>
          </cell>
          <cell r="D408">
            <v>2.298E-2</v>
          </cell>
          <cell r="E408">
            <v>-2.298E-2</v>
          </cell>
          <cell r="F408">
            <v>0</v>
          </cell>
          <cell r="G408">
            <v>2.2988000000000001E-2</v>
          </cell>
        </row>
        <row r="409">
          <cell r="B409" t="str">
            <v>Jyoti CNC Automation Ltd</v>
          </cell>
          <cell r="C409">
            <v>0</v>
          </cell>
          <cell r="D409">
            <v>4.1950000000000001E-2</v>
          </cell>
          <cell r="E409">
            <v>-4.1950000000000001E-2</v>
          </cell>
          <cell r="F409">
            <v>0</v>
          </cell>
          <cell r="G409">
            <v>4.1965000000000002E-2</v>
          </cell>
        </row>
        <row r="410">
          <cell r="B410" t="str">
            <v>Kajaria Ceramics Ltd</v>
          </cell>
          <cell r="C410">
            <v>0</v>
          </cell>
          <cell r="D410">
            <v>0.04</v>
          </cell>
          <cell r="E410">
            <v>-0.04</v>
          </cell>
          <cell r="F410">
            <v>0</v>
          </cell>
          <cell r="G410">
            <v>4.0014000000000001E-2</v>
          </cell>
        </row>
        <row r="411">
          <cell r="B411" t="str">
            <v>Kalpataru Projects International Ltd</v>
          </cell>
          <cell r="C411">
            <v>0.49947000000000003</v>
          </cell>
          <cell r="D411">
            <v>6.7949999999999997E-2</v>
          </cell>
          <cell r="E411">
            <v>0.43152000000000001</v>
          </cell>
          <cell r="F411">
            <v>0.57536200000000004</v>
          </cell>
          <cell r="G411">
            <v>6.7974000000000007E-2</v>
          </cell>
        </row>
        <row r="412">
          <cell r="B412" t="str">
            <v>KEC International Ltd</v>
          </cell>
          <cell r="C412">
            <v>0</v>
          </cell>
          <cell r="D412">
            <v>4.7640000000000002E-2</v>
          </cell>
          <cell r="E412">
            <v>-4.7640000000000002E-2</v>
          </cell>
          <cell r="F412">
            <v>0</v>
          </cell>
          <cell r="G412">
            <v>4.7656999999999998E-2</v>
          </cell>
        </row>
        <row r="413">
          <cell r="B413" t="str">
            <v>KEI Industries Ltd</v>
          </cell>
          <cell r="C413">
            <v>0</v>
          </cell>
          <cell r="D413">
            <v>0.13703000000000001</v>
          </cell>
          <cell r="E413">
            <v>-0.13703000000000001</v>
          </cell>
          <cell r="F413">
            <v>0</v>
          </cell>
          <cell r="G413">
            <v>0.13707800000000001</v>
          </cell>
        </row>
        <row r="414">
          <cell r="B414" t="str">
            <v>Kirloskar Brothers Ltd</v>
          </cell>
          <cell r="C414">
            <v>0</v>
          </cell>
          <cell r="D414">
            <v>2.0209999999999999E-2</v>
          </cell>
          <cell r="E414">
            <v>-2.0209999999999999E-2</v>
          </cell>
          <cell r="F414">
            <v>0</v>
          </cell>
          <cell r="G414">
            <v>2.0216999999999999E-2</v>
          </cell>
        </row>
        <row r="415">
          <cell r="B415" t="str">
            <v>Kirloskar Oil Engines Ltd</v>
          </cell>
          <cell r="C415">
            <v>0</v>
          </cell>
          <cell r="D415">
            <v>5.0520000000000002E-2</v>
          </cell>
          <cell r="E415">
            <v>-5.0520000000000002E-2</v>
          </cell>
          <cell r="F415">
            <v>0</v>
          </cell>
          <cell r="G415">
            <v>5.0538E-2</v>
          </cell>
        </row>
        <row r="416">
          <cell r="B416" t="str">
            <v>KSB Ltd</v>
          </cell>
          <cell r="C416">
            <v>0</v>
          </cell>
          <cell r="D416">
            <v>1.9689999999999999E-2</v>
          </cell>
          <cell r="E416">
            <v>-1.9689999999999999E-2</v>
          </cell>
          <cell r="F416">
            <v>0</v>
          </cell>
          <cell r="G416">
            <v>1.9696999999999999E-2</v>
          </cell>
        </row>
        <row r="417">
          <cell r="B417" t="str">
            <v>Larsen &amp; Toubro Ltd</v>
          </cell>
          <cell r="C417">
            <v>1.0015400000000001</v>
          </cell>
          <cell r="D417">
            <v>2.3861599999999998</v>
          </cell>
          <cell r="E417">
            <v>-1.38462</v>
          </cell>
          <cell r="F417">
            <v>1.1537200000000001</v>
          </cell>
          <cell r="G417">
            <v>2.3869910000000001</v>
          </cell>
        </row>
        <row r="418">
          <cell r="B418" t="str">
            <v>Latent View Analytics Ltd</v>
          </cell>
          <cell r="C418">
            <v>0</v>
          </cell>
          <cell r="D418">
            <v>1.6459999999999999E-2</v>
          </cell>
          <cell r="E418">
            <v>-1.6459999999999999E-2</v>
          </cell>
          <cell r="F418">
            <v>0</v>
          </cell>
          <cell r="G418">
            <v>1.6466000000000001E-2</v>
          </cell>
        </row>
        <row r="419">
          <cell r="B419" t="str">
            <v>Mazagon Dock Shipbuilders Ltd</v>
          </cell>
          <cell r="C419">
            <v>0</v>
          </cell>
          <cell r="D419">
            <v>9.4109999999999999E-2</v>
          </cell>
          <cell r="E419">
            <v>-9.4109999999999999E-2</v>
          </cell>
          <cell r="F419">
            <v>0</v>
          </cell>
          <cell r="G419">
            <v>9.4143000000000004E-2</v>
          </cell>
        </row>
        <row r="420">
          <cell r="B420" t="str">
            <v>MMTC Ltd</v>
          </cell>
          <cell r="C420">
            <v>0</v>
          </cell>
          <cell r="D420">
            <v>5.0800000000000003E-3</v>
          </cell>
          <cell r="E420">
            <v>-5.0800000000000003E-3</v>
          </cell>
          <cell r="F420">
            <v>0</v>
          </cell>
          <cell r="G420">
            <v>5.0819999999999997E-3</v>
          </cell>
        </row>
        <row r="421">
          <cell r="B421" t="str">
            <v>Nava Ltd</v>
          </cell>
          <cell r="C421">
            <v>0</v>
          </cell>
          <cell r="D421">
            <v>3.9129999999999998E-2</v>
          </cell>
          <cell r="E421">
            <v>-3.9129999999999998E-2</v>
          </cell>
          <cell r="F421">
            <v>0</v>
          </cell>
          <cell r="G421">
            <v>3.9143999999999998E-2</v>
          </cell>
        </row>
        <row r="422">
          <cell r="B422" t="str">
            <v>NBCC India Ltd</v>
          </cell>
          <cell r="C422">
            <v>0</v>
          </cell>
          <cell r="D422">
            <v>6.2719999999999998E-2</v>
          </cell>
          <cell r="E422">
            <v>-6.2719999999999998E-2</v>
          </cell>
          <cell r="F422">
            <v>0</v>
          </cell>
          <cell r="G422">
            <v>6.2742000000000006E-2</v>
          </cell>
        </row>
        <row r="423">
          <cell r="B423" t="str">
            <v>NCC Ltd</v>
          </cell>
          <cell r="C423">
            <v>0</v>
          </cell>
          <cell r="D423">
            <v>3.2669999999999998E-2</v>
          </cell>
          <cell r="E423">
            <v>-3.2669999999999998E-2</v>
          </cell>
          <cell r="F423">
            <v>0</v>
          </cell>
          <cell r="G423">
            <v>3.2681000000000002E-2</v>
          </cell>
        </row>
        <row r="424">
          <cell r="B424" t="str">
            <v>Olectra Greentech Ltd</v>
          </cell>
          <cell r="C424">
            <v>0</v>
          </cell>
          <cell r="D424">
            <v>2.4410000000000001E-2</v>
          </cell>
          <cell r="E424">
            <v>-2.4410000000000001E-2</v>
          </cell>
          <cell r="F424">
            <v>0</v>
          </cell>
          <cell r="G424">
            <v>2.4419E-2</v>
          </cell>
        </row>
        <row r="425">
          <cell r="B425" t="str">
            <v>Polycab India Ltd</v>
          </cell>
          <cell r="C425">
            <v>0</v>
          </cell>
          <cell r="D425">
            <v>0.19964999999999999</v>
          </cell>
          <cell r="E425">
            <v>-0.19964999999999999</v>
          </cell>
          <cell r="F425">
            <v>0</v>
          </cell>
          <cell r="G425">
            <v>0.19972000000000001</v>
          </cell>
        </row>
        <row r="426">
          <cell r="B426" t="str">
            <v>Praj Industries Ltd</v>
          </cell>
          <cell r="C426">
            <v>0</v>
          </cell>
          <cell r="D426">
            <v>1.9800000000000002E-2</v>
          </cell>
          <cell r="E426">
            <v>-1.9800000000000002E-2</v>
          </cell>
          <cell r="F426">
            <v>0</v>
          </cell>
          <cell r="G426">
            <v>1.9807000000000002E-2</v>
          </cell>
        </row>
        <row r="427">
          <cell r="B427" t="str">
            <v>PTC Industries Ltd</v>
          </cell>
          <cell r="C427">
            <v>0</v>
          </cell>
          <cell r="D427">
            <v>5.6210000000000003E-2</v>
          </cell>
          <cell r="E427">
            <v>-5.6210000000000003E-2</v>
          </cell>
          <cell r="F427">
            <v>0</v>
          </cell>
          <cell r="G427">
            <v>5.6230000000000002E-2</v>
          </cell>
        </row>
        <row r="428">
          <cell r="B428" t="str">
            <v>R R Kabel Ltd</v>
          </cell>
          <cell r="C428">
            <v>0</v>
          </cell>
          <cell r="D428">
            <v>2.3539999999999998E-2</v>
          </cell>
          <cell r="E428">
            <v>-2.3539999999999998E-2</v>
          </cell>
          <cell r="F428">
            <v>0</v>
          </cell>
          <cell r="G428">
            <v>2.3547999999999999E-2</v>
          </cell>
        </row>
        <row r="429">
          <cell r="B429" t="str">
            <v>Rail Vikas Nigam Ltd</v>
          </cell>
          <cell r="C429">
            <v>0</v>
          </cell>
          <cell r="D429">
            <v>0.10088</v>
          </cell>
          <cell r="E429">
            <v>-0.10088</v>
          </cell>
          <cell r="F429">
            <v>0</v>
          </cell>
          <cell r="G429">
            <v>0.100915</v>
          </cell>
        </row>
        <row r="430">
          <cell r="B430" t="str">
            <v>Ramkrishna Forgings Ltd</v>
          </cell>
          <cell r="C430">
            <v>0</v>
          </cell>
          <cell r="D430">
            <v>2.6769999999999999E-2</v>
          </cell>
          <cell r="E430">
            <v>-2.6769999999999999E-2</v>
          </cell>
          <cell r="F430">
            <v>0</v>
          </cell>
          <cell r="G430">
            <v>2.6779000000000001E-2</v>
          </cell>
        </row>
        <row r="431">
          <cell r="B431" t="str">
            <v>RHI Magnesita India Ltd</v>
          </cell>
          <cell r="C431">
            <v>0</v>
          </cell>
          <cell r="D431">
            <v>1.3849999999999999E-2</v>
          </cell>
          <cell r="E431">
            <v>-1.3849999999999999E-2</v>
          </cell>
          <cell r="F431">
            <v>0</v>
          </cell>
          <cell r="G431">
            <v>1.3854999999999999E-2</v>
          </cell>
        </row>
        <row r="432">
          <cell r="B432" t="str">
            <v>RITES Ltd Ordinary Shares</v>
          </cell>
          <cell r="C432">
            <v>0</v>
          </cell>
          <cell r="D432">
            <v>1.6209999999999999E-2</v>
          </cell>
          <cell r="E432">
            <v>-1.6209999999999999E-2</v>
          </cell>
          <cell r="F432">
            <v>0</v>
          </cell>
          <cell r="G432">
            <v>1.6216000000000001E-2</v>
          </cell>
        </row>
        <row r="433">
          <cell r="B433" t="str">
            <v>Schneider Electric Infrastructure Ltd</v>
          </cell>
          <cell r="C433">
            <v>0</v>
          </cell>
          <cell r="D433">
            <v>2.1080000000000002E-2</v>
          </cell>
          <cell r="E433">
            <v>-2.1080000000000002E-2</v>
          </cell>
          <cell r="F433">
            <v>0</v>
          </cell>
          <cell r="G433">
            <v>2.1087000000000002E-2</v>
          </cell>
        </row>
        <row r="434">
          <cell r="B434" t="str">
            <v>Siemens Ltd</v>
          </cell>
          <cell r="C434">
            <v>0</v>
          </cell>
          <cell r="D434">
            <v>0.13478000000000001</v>
          </cell>
          <cell r="E434">
            <v>-0.13478000000000001</v>
          </cell>
          <cell r="F434">
            <v>0</v>
          </cell>
          <cell r="G434">
            <v>0.134827</v>
          </cell>
        </row>
        <row r="435">
          <cell r="B435" t="str">
            <v>SRF Ltd</v>
          </cell>
          <cell r="C435">
            <v>0</v>
          </cell>
          <cell r="D435">
            <v>0.22222</v>
          </cell>
          <cell r="E435">
            <v>-0.22222</v>
          </cell>
          <cell r="F435">
            <v>0</v>
          </cell>
          <cell r="G435">
            <v>0.22229699999999999</v>
          </cell>
        </row>
        <row r="436">
          <cell r="B436" t="str">
            <v>Supreme Industries Ltd</v>
          </cell>
          <cell r="C436">
            <v>0</v>
          </cell>
          <cell r="D436">
            <v>0.10765</v>
          </cell>
          <cell r="E436">
            <v>-0.10765</v>
          </cell>
          <cell r="F436">
            <v>0</v>
          </cell>
          <cell r="G436">
            <v>0.107687</v>
          </cell>
        </row>
        <row r="437">
          <cell r="B437" t="str">
            <v>Suzlon Energy Ltd</v>
          </cell>
          <cell r="C437">
            <v>0</v>
          </cell>
          <cell r="D437">
            <v>0.31802000000000002</v>
          </cell>
          <cell r="E437">
            <v>-0.31802000000000002</v>
          </cell>
          <cell r="F437">
            <v>0</v>
          </cell>
          <cell r="G437">
            <v>0.318131</v>
          </cell>
        </row>
        <row r="438">
          <cell r="B438" t="str">
            <v>Swan Corp Ltd</v>
          </cell>
          <cell r="C438">
            <v>0</v>
          </cell>
          <cell r="D438">
            <v>3.2570000000000002E-2</v>
          </cell>
          <cell r="E438">
            <v>-3.2570000000000002E-2</v>
          </cell>
          <cell r="F438">
            <v>0</v>
          </cell>
          <cell r="G438">
            <v>3.2580999999999999E-2</v>
          </cell>
        </row>
        <row r="439">
          <cell r="B439" t="str">
            <v>Techno Electric &amp; Engineering Co Ltd</v>
          </cell>
          <cell r="C439">
            <v>0</v>
          </cell>
          <cell r="D439">
            <v>2.7029999999999998E-2</v>
          </cell>
          <cell r="E439">
            <v>-2.7029999999999998E-2</v>
          </cell>
          <cell r="F439">
            <v>0</v>
          </cell>
          <cell r="G439">
            <v>2.7039000000000001E-2</v>
          </cell>
        </row>
        <row r="440">
          <cell r="B440" t="str">
            <v>The Shipping Corp of India Ltd</v>
          </cell>
          <cell r="C440">
            <v>0</v>
          </cell>
          <cell r="D440">
            <v>1.949E-2</v>
          </cell>
          <cell r="E440">
            <v>-1.949E-2</v>
          </cell>
          <cell r="F440">
            <v>0</v>
          </cell>
          <cell r="G440">
            <v>1.9497E-2</v>
          </cell>
        </row>
        <row r="441">
          <cell r="B441" t="str">
            <v>Thermax Ltd</v>
          </cell>
          <cell r="C441">
            <v>0</v>
          </cell>
          <cell r="D441">
            <v>5.8259999999999999E-2</v>
          </cell>
          <cell r="E441">
            <v>-5.8259999999999999E-2</v>
          </cell>
          <cell r="F441">
            <v>0</v>
          </cell>
          <cell r="G441">
            <v>5.8279999999999998E-2</v>
          </cell>
        </row>
        <row r="442">
          <cell r="B442" t="str">
            <v>Timken India Ltd</v>
          </cell>
          <cell r="C442">
            <v>0</v>
          </cell>
          <cell r="D442">
            <v>5.3589999999999999E-2</v>
          </cell>
          <cell r="E442">
            <v>-5.3589999999999999E-2</v>
          </cell>
          <cell r="F442">
            <v>0</v>
          </cell>
          <cell r="G442">
            <v>5.3608999999999997E-2</v>
          </cell>
        </row>
        <row r="443">
          <cell r="B443" t="str">
            <v>Titagarh Rail Systems Ltd</v>
          </cell>
          <cell r="C443">
            <v>0</v>
          </cell>
          <cell r="D443">
            <v>3.5540000000000002E-2</v>
          </cell>
          <cell r="E443">
            <v>-3.5540000000000002E-2</v>
          </cell>
          <cell r="F443">
            <v>0</v>
          </cell>
          <cell r="G443">
            <v>3.5552E-2</v>
          </cell>
        </row>
        <row r="444">
          <cell r="B444" t="str">
            <v>Transformers &amp; Rectifiers (India) Ltd</v>
          </cell>
          <cell r="C444">
            <v>0</v>
          </cell>
          <cell r="D444">
            <v>1.5180000000000001E-2</v>
          </cell>
          <cell r="E444">
            <v>-1.5180000000000001E-2</v>
          </cell>
          <cell r="F444">
            <v>0</v>
          </cell>
          <cell r="G444">
            <v>1.5185000000000001E-2</v>
          </cell>
        </row>
        <row r="445">
          <cell r="B445" t="str">
            <v>Triveni Turbine Ltd</v>
          </cell>
          <cell r="C445">
            <v>0</v>
          </cell>
          <cell r="D445">
            <v>3.0870000000000002E-2</v>
          </cell>
          <cell r="E445">
            <v>-3.0870000000000002E-2</v>
          </cell>
          <cell r="F445">
            <v>0</v>
          </cell>
          <cell r="G445">
            <v>3.0880999999999999E-2</v>
          </cell>
        </row>
        <row r="446">
          <cell r="B446" t="str">
            <v>Tube Investments of India Ltd Ordinary Shares</v>
          </cell>
          <cell r="C446">
            <v>0</v>
          </cell>
          <cell r="D446">
            <v>0.13888</v>
          </cell>
          <cell r="E446">
            <v>-0.13888</v>
          </cell>
          <cell r="F446">
            <v>0</v>
          </cell>
          <cell r="G446">
            <v>0.138928</v>
          </cell>
        </row>
        <row r="447">
          <cell r="B447" t="str">
            <v>V-Guard Industries Ltd</v>
          </cell>
          <cell r="C447">
            <v>0</v>
          </cell>
          <cell r="D447">
            <v>3.0870000000000002E-2</v>
          </cell>
          <cell r="E447">
            <v>-3.0870000000000002E-2</v>
          </cell>
          <cell r="F447">
            <v>0</v>
          </cell>
          <cell r="G447">
            <v>3.0880999999999999E-2</v>
          </cell>
        </row>
        <row r="448">
          <cell r="B448" t="str">
            <v>Zen Technologies Ltd</v>
          </cell>
          <cell r="C448">
            <v>0</v>
          </cell>
          <cell r="D448">
            <v>3.1390000000000001E-2</v>
          </cell>
          <cell r="E448">
            <v>-3.1390000000000001E-2</v>
          </cell>
          <cell r="F448">
            <v>0</v>
          </cell>
          <cell r="G448">
            <v>3.1400999999999998E-2</v>
          </cell>
        </row>
        <row r="449">
          <cell r="C449">
            <v>2.35589</v>
          </cell>
          <cell r="D449">
            <v>1.13565</v>
          </cell>
          <cell r="E449">
            <v>1.22024</v>
          </cell>
          <cell r="F449">
            <v>2.713857</v>
          </cell>
          <cell r="G449">
            <v>1.136045</v>
          </cell>
        </row>
        <row r="450">
          <cell r="B450" t="str">
            <v>Aditya Birla Real Estate Ltd</v>
          </cell>
          <cell r="C450">
            <v>0</v>
          </cell>
          <cell r="D450">
            <v>4.3639999999999998E-2</v>
          </cell>
          <cell r="E450">
            <v>-4.3639999999999998E-2</v>
          </cell>
          <cell r="F450">
            <v>0</v>
          </cell>
          <cell r="G450">
            <v>4.3654999999999999E-2</v>
          </cell>
        </row>
        <row r="451">
          <cell r="B451" t="str">
            <v>Anant Raj Ltd</v>
          </cell>
          <cell r="C451">
            <v>0</v>
          </cell>
          <cell r="D451">
            <v>4.1640000000000003E-2</v>
          </cell>
          <cell r="E451">
            <v>-4.1640000000000003E-2</v>
          </cell>
          <cell r="F451">
            <v>0</v>
          </cell>
          <cell r="G451">
            <v>4.1653999999999997E-2</v>
          </cell>
        </row>
        <row r="452">
          <cell r="B452" t="str">
            <v>Brigade Enterprises Ltd</v>
          </cell>
          <cell r="C452">
            <v>0</v>
          </cell>
          <cell r="D452">
            <v>6.1179999999999998E-2</v>
          </cell>
          <cell r="E452">
            <v>-6.1179999999999998E-2</v>
          </cell>
          <cell r="F452">
            <v>0</v>
          </cell>
          <cell r="G452">
            <v>6.1200999999999998E-2</v>
          </cell>
        </row>
        <row r="453">
          <cell r="B453" t="str">
            <v>DLF Ltd</v>
          </cell>
          <cell r="C453">
            <v>0</v>
          </cell>
          <cell r="D453">
            <v>0.21940000000000001</v>
          </cell>
          <cell r="E453">
            <v>-0.21940000000000001</v>
          </cell>
          <cell r="F453">
            <v>0</v>
          </cell>
          <cell r="G453">
            <v>0.219476</v>
          </cell>
        </row>
        <row r="454">
          <cell r="B454" t="str">
            <v>Embassy Office Parks REIT</v>
          </cell>
          <cell r="C454">
            <v>0.58769000000000005</v>
          </cell>
          <cell r="D454">
            <v>0</v>
          </cell>
          <cell r="E454">
            <v>0.58769000000000005</v>
          </cell>
          <cell r="F454">
            <v>0.67698700000000001</v>
          </cell>
          <cell r="G454">
            <v>0</v>
          </cell>
        </row>
        <row r="455">
          <cell r="B455" t="str">
            <v>Godrej Properties Ltd</v>
          </cell>
          <cell r="C455">
            <v>0</v>
          </cell>
          <cell r="D455">
            <v>0.14873</v>
          </cell>
          <cell r="E455">
            <v>-0.14873</v>
          </cell>
          <cell r="F455">
            <v>0</v>
          </cell>
          <cell r="G455">
            <v>0.148782</v>
          </cell>
        </row>
        <row r="456">
          <cell r="B456" t="str">
            <v>Lodha Developers Ltd</v>
          </cell>
          <cell r="C456">
            <v>0</v>
          </cell>
          <cell r="D456">
            <v>0.14852000000000001</v>
          </cell>
          <cell r="E456">
            <v>-0.14852000000000001</v>
          </cell>
          <cell r="F456">
            <v>0</v>
          </cell>
          <cell r="G456">
            <v>0.14857200000000001</v>
          </cell>
        </row>
        <row r="457">
          <cell r="B457" t="str">
            <v>Nexus Select Trust Reits</v>
          </cell>
          <cell r="C457">
            <v>1.7682</v>
          </cell>
          <cell r="D457">
            <v>0</v>
          </cell>
          <cell r="E457">
            <v>1.7682</v>
          </cell>
          <cell r="F457">
            <v>2.03687</v>
          </cell>
          <cell r="G457">
            <v>0</v>
          </cell>
        </row>
        <row r="458">
          <cell r="B458" t="str">
            <v>Oberoi Realty Ltd</v>
          </cell>
          <cell r="C458">
            <v>0</v>
          </cell>
          <cell r="D458">
            <v>9.7850000000000006E-2</v>
          </cell>
          <cell r="E458">
            <v>-9.7850000000000006E-2</v>
          </cell>
          <cell r="F458">
            <v>0</v>
          </cell>
          <cell r="G458">
            <v>9.7883999999999999E-2</v>
          </cell>
        </row>
        <row r="459">
          <cell r="B459" t="str">
            <v>Phoenix Mills Ltd</v>
          </cell>
          <cell r="C459">
            <v>0</v>
          </cell>
          <cell r="D459">
            <v>0.17205999999999999</v>
          </cell>
          <cell r="E459">
            <v>-0.17205999999999999</v>
          </cell>
          <cell r="F459">
            <v>0</v>
          </cell>
          <cell r="G459">
            <v>0.17212</v>
          </cell>
        </row>
        <row r="460">
          <cell r="B460" t="str">
            <v>Prestige Estates Projects Ltd</v>
          </cell>
          <cell r="C460">
            <v>0</v>
          </cell>
          <cell r="D460">
            <v>0.13391</v>
          </cell>
          <cell r="E460">
            <v>-0.13391</v>
          </cell>
          <cell r="F460">
            <v>0</v>
          </cell>
          <cell r="G460">
            <v>0.13395699999999999</v>
          </cell>
        </row>
        <row r="461">
          <cell r="B461" t="str">
            <v>Signatureglobal (India) Ltd</v>
          </cell>
          <cell r="C461">
            <v>0</v>
          </cell>
          <cell r="D461">
            <v>2.1950000000000001E-2</v>
          </cell>
          <cell r="E461">
            <v>-2.1950000000000001E-2</v>
          </cell>
          <cell r="F461">
            <v>0</v>
          </cell>
          <cell r="G461">
            <v>2.1957999999999998E-2</v>
          </cell>
        </row>
        <row r="462">
          <cell r="B462" t="str">
            <v>Sobha Ltd</v>
          </cell>
          <cell r="C462">
            <v>0</v>
          </cell>
          <cell r="D462">
            <v>3.2309999999999998E-2</v>
          </cell>
          <cell r="E462">
            <v>-3.2309999999999998E-2</v>
          </cell>
          <cell r="F462">
            <v>0</v>
          </cell>
          <cell r="G462">
            <v>3.2321000000000003E-2</v>
          </cell>
        </row>
        <row r="463">
          <cell r="B463" t="str">
            <v>Valor Estate Ltd</v>
          </cell>
          <cell r="C463">
            <v>0</v>
          </cell>
          <cell r="D463">
            <v>1.4460000000000001E-2</v>
          </cell>
          <cell r="E463">
            <v>-1.4460000000000001E-2</v>
          </cell>
          <cell r="F463">
            <v>0</v>
          </cell>
          <cell r="G463">
            <v>1.4465E-2</v>
          </cell>
        </row>
        <row r="464">
          <cell r="C464">
            <v>5.6040099999999997</v>
          </cell>
          <cell r="D464">
            <v>9.1660400000000006</v>
          </cell>
          <cell r="E464">
            <v>-3.56203</v>
          </cell>
          <cell r="F464">
            <v>6.455514</v>
          </cell>
          <cell r="G464">
            <v>9.1692319999999992</v>
          </cell>
        </row>
        <row r="465">
          <cell r="B465" t="str">
            <v>Birlasoft Ltd</v>
          </cell>
          <cell r="C465">
            <v>0.19349</v>
          </cell>
          <cell r="D465">
            <v>3.5639999999999998E-2</v>
          </cell>
          <cell r="E465">
            <v>0.15784999999999999</v>
          </cell>
          <cell r="F465">
            <v>0.22289</v>
          </cell>
          <cell r="G465">
            <v>3.5652000000000003E-2</v>
          </cell>
        </row>
        <row r="466">
          <cell r="B466" t="str">
            <v>CE Info Systems Ltd</v>
          </cell>
          <cell r="C466">
            <v>0</v>
          </cell>
          <cell r="D466">
            <v>1.487E-2</v>
          </cell>
          <cell r="E466">
            <v>-1.487E-2</v>
          </cell>
          <cell r="F466">
            <v>0</v>
          </cell>
          <cell r="G466">
            <v>1.4874999999999999E-2</v>
          </cell>
        </row>
        <row r="467">
          <cell r="B467" t="str">
            <v>Coforge Ltd</v>
          </cell>
          <cell r="C467">
            <v>0</v>
          </cell>
          <cell r="D467">
            <v>0.27699000000000001</v>
          </cell>
          <cell r="E467">
            <v>-0.27699000000000001</v>
          </cell>
          <cell r="F467">
            <v>0</v>
          </cell>
          <cell r="G467">
            <v>0.277086</v>
          </cell>
        </row>
        <row r="468">
          <cell r="B468" t="str">
            <v>Computer Age Management Services Ltd Ordinary Shares</v>
          </cell>
          <cell r="C468">
            <v>0</v>
          </cell>
          <cell r="D468">
            <v>8.8520000000000001E-2</v>
          </cell>
          <cell r="E468">
            <v>-8.8520000000000001E-2</v>
          </cell>
          <cell r="F468">
            <v>0</v>
          </cell>
          <cell r="G468">
            <v>8.8551000000000005E-2</v>
          </cell>
        </row>
        <row r="469">
          <cell r="B469" t="str">
            <v>Dixon Technologies (India) Ltd</v>
          </cell>
          <cell r="C469">
            <v>0</v>
          </cell>
          <cell r="D469">
            <v>0.24765999999999999</v>
          </cell>
          <cell r="E469">
            <v>-0.24765999999999999</v>
          </cell>
          <cell r="F469">
            <v>0</v>
          </cell>
          <cell r="G469">
            <v>0.24774599999999999</v>
          </cell>
        </row>
        <row r="470">
          <cell r="B470" t="str">
            <v>eClerx Services Ltd</v>
          </cell>
          <cell r="C470">
            <v>0</v>
          </cell>
          <cell r="D470">
            <v>4.9849999999999998E-2</v>
          </cell>
          <cell r="E470">
            <v>-4.9849999999999998E-2</v>
          </cell>
          <cell r="F470">
            <v>0</v>
          </cell>
          <cell r="G470">
            <v>4.9867000000000002E-2</v>
          </cell>
        </row>
        <row r="471">
          <cell r="B471" t="str">
            <v>Firstsource Solutions Ltd</v>
          </cell>
          <cell r="C471">
            <v>0</v>
          </cell>
          <cell r="D471">
            <v>5.3080000000000002E-2</v>
          </cell>
          <cell r="E471">
            <v>-5.3080000000000002E-2</v>
          </cell>
          <cell r="F471">
            <v>0</v>
          </cell>
          <cell r="G471">
            <v>5.3097999999999999E-2</v>
          </cell>
        </row>
        <row r="472">
          <cell r="B472" t="str">
            <v>Happiest Minds Technologies Ltd Ordinary Shares</v>
          </cell>
          <cell r="C472">
            <v>0</v>
          </cell>
          <cell r="D472">
            <v>1.8769999999999998E-2</v>
          </cell>
          <cell r="E472">
            <v>-1.8769999999999998E-2</v>
          </cell>
          <cell r="F472">
            <v>0</v>
          </cell>
          <cell r="G472">
            <v>1.8776999999999999E-2</v>
          </cell>
        </row>
        <row r="473">
          <cell r="B473" t="str">
            <v>HCL Technologies Ltd</v>
          </cell>
          <cell r="C473">
            <v>3.0343599999999999</v>
          </cell>
          <cell r="D473">
            <v>0.85226000000000002</v>
          </cell>
          <cell r="E473">
            <v>2.1821000000000002</v>
          </cell>
          <cell r="F473">
            <v>3.4954170000000002</v>
          </cell>
          <cell r="G473">
            <v>0.85255700000000001</v>
          </cell>
        </row>
        <row r="474">
          <cell r="B474" t="str">
            <v>Hexaware Technologies Ltd Ordinary Shares</v>
          </cell>
          <cell r="C474">
            <v>0</v>
          </cell>
          <cell r="D474">
            <v>5.6520000000000001E-2</v>
          </cell>
          <cell r="E474">
            <v>-5.6520000000000001E-2</v>
          </cell>
          <cell r="F474">
            <v>0</v>
          </cell>
          <cell r="G474">
            <v>5.654E-2</v>
          </cell>
        </row>
        <row r="475">
          <cell r="B475" t="str">
            <v>HFCL Ltd</v>
          </cell>
          <cell r="C475">
            <v>0</v>
          </cell>
          <cell r="D475">
            <v>3.6159999999999998E-2</v>
          </cell>
          <cell r="E475">
            <v>-3.6159999999999998E-2</v>
          </cell>
          <cell r="F475">
            <v>0</v>
          </cell>
          <cell r="G475">
            <v>3.6172999999999997E-2</v>
          </cell>
        </row>
        <row r="476">
          <cell r="B476" t="str">
            <v>Infosys Ltd</v>
          </cell>
          <cell r="C476">
            <v>1.7901899999999999</v>
          </cell>
          <cell r="D476">
            <v>2.8155199999999998</v>
          </cell>
          <cell r="E476">
            <v>-1.0253300000000001</v>
          </cell>
          <cell r="F476">
            <v>2.062201</v>
          </cell>
          <cell r="G476">
            <v>2.8165</v>
          </cell>
        </row>
        <row r="477">
          <cell r="B477" t="str">
            <v>Intellect Design Arena Ltd</v>
          </cell>
          <cell r="C477">
            <v>0</v>
          </cell>
          <cell r="D477">
            <v>4.3279999999999999E-2</v>
          </cell>
          <cell r="E477">
            <v>-4.3279999999999999E-2</v>
          </cell>
          <cell r="F477">
            <v>0</v>
          </cell>
          <cell r="G477">
            <v>4.3295E-2</v>
          </cell>
        </row>
        <row r="478">
          <cell r="B478" t="str">
            <v>ITI Ltd</v>
          </cell>
          <cell r="C478">
            <v>0</v>
          </cell>
          <cell r="D478">
            <v>1.482E-2</v>
          </cell>
          <cell r="E478">
            <v>-1.482E-2</v>
          </cell>
          <cell r="F478">
            <v>0</v>
          </cell>
          <cell r="G478">
            <v>1.4825E-2</v>
          </cell>
        </row>
        <row r="479">
          <cell r="B479" t="str">
            <v>Kaynes Technology India Ltd</v>
          </cell>
          <cell r="C479">
            <v>0</v>
          </cell>
          <cell r="D479">
            <v>6.2359999999999999E-2</v>
          </cell>
          <cell r="E479">
            <v>-6.2359999999999999E-2</v>
          </cell>
          <cell r="F479">
            <v>0</v>
          </cell>
          <cell r="G479">
            <v>6.2382E-2</v>
          </cell>
        </row>
        <row r="480">
          <cell r="B480" t="str">
            <v>KFin Technologies Ltd</v>
          </cell>
          <cell r="C480">
            <v>0</v>
          </cell>
          <cell r="D480">
            <v>7.1749999999999994E-2</v>
          </cell>
          <cell r="E480">
            <v>-7.1749999999999994E-2</v>
          </cell>
          <cell r="F480">
            <v>0</v>
          </cell>
          <cell r="G480">
            <v>7.1775000000000005E-2</v>
          </cell>
        </row>
        <row r="481">
          <cell r="B481" t="str">
            <v>KPIT Technologies Ltd</v>
          </cell>
          <cell r="C481">
            <v>0</v>
          </cell>
          <cell r="D481">
            <v>9.554E-2</v>
          </cell>
          <cell r="E481">
            <v>-9.554E-2</v>
          </cell>
          <cell r="F481">
            <v>0</v>
          </cell>
          <cell r="G481">
            <v>9.5573000000000005E-2</v>
          </cell>
        </row>
        <row r="482">
          <cell r="B482" t="str">
            <v>L&amp;T Technology Services Ltd</v>
          </cell>
          <cell r="C482">
            <v>0</v>
          </cell>
          <cell r="D482">
            <v>6.1080000000000002E-2</v>
          </cell>
          <cell r="E482">
            <v>-6.1080000000000002E-2</v>
          </cell>
          <cell r="F482">
            <v>0</v>
          </cell>
          <cell r="G482">
            <v>6.1101000000000003E-2</v>
          </cell>
        </row>
        <row r="483">
          <cell r="B483" t="str">
            <v>LTIMindtree Ltd</v>
          </cell>
          <cell r="C483">
            <v>0</v>
          </cell>
          <cell r="D483">
            <v>0.27986</v>
          </cell>
          <cell r="E483">
            <v>-0.27986</v>
          </cell>
          <cell r="F483">
            <v>0</v>
          </cell>
          <cell r="G483">
            <v>0.27995700000000001</v>
          </cell>
        </row>
        <row r="484">
          <cell r="B484" t="str">
            <v>Mphasis Ltd</v>
          </cell>
          <cell r="C484">
            <v>0</v>
          </cell>
          <cell r="D484">
            <v>0.15831999999999999</v>
          </cell>
          <cell r="E484">
            <v>-0.15831999999999999</v>
          </cell>
          <cell r="F484">
            <v>0</v>
          </cell>
          <cell r="G484">
            <v>0.15837499999999999</v>
          </cell>
        </row>
        <row r="485">
          <cell r="B485" t="str">
            <v>Netweb Technologies India Ltd</v>
          </cell>
          <cell r="C485">
            <v>0</v>
          </cell>
          <cell r="D485">
            <v>2.554E-2</v>
          </cell>
          <cell r="E485">
            <v>-2.554E-2</v>
          </cell>
          <cell r="F485">
            <v>0</v>
          </cell>
          <cell r="G485">
            <v>2.5548999999999999E-2</v>
          </cell>
        </row>
        <row r="486">
          <cell r="B486" t="str">
            <v>Newgen Software Technologies Ltd</v>
          </cell>
          <cell r="C486">
            <v>0</v>
          </cell>
          <cell r="D486">
            <v>2.682E-2</v>
          </cell>
          <cell r="E486">
            <v>-2.682E-2</v>
          </cell>
          <cell r="F486">
            <v>0</v>
          </cell>
          <cell r="G486">
            <v>2.6828999999999999E-2</v>
          </cell>
        </row>
        <row r="487">
          <cell r="B487" t="str">
            <v>One97 Communications Ltd</v>
          </cell>
          <cell r="C487">
            <v>0</v>
          </cell>
          <cell r="D487">
            <v>0.26238</v>
          </cell>
          <cell r="E487">
            <v>-0.26238</v>
          </cell>
          <cell r="F487">
            <v>0</v>
          </cell>
          <cell r="G487">
            <v>0.26247100000000001</v>
          </cell>
        </row>
        <row r="488">
          <cell r="B488" t="str">
            <v>Oracle Financial Services Software Ltd</v>
          </cell>
          <cell r="C488">
            <v>0</v>
          </cell>
          <cell r="D488">
            <v>9.1079999999999994E-2</v>
          </cell>
          <cell r="E488">
            <v>-9.1079999999999994E-2</v>
          </cell>
          <cell r="F488">
            <v>0</v>
          </cell>
          <cell r="G488">
            <v>9.1111999999999999E-2</v>
          </cell>
        </row>
        <row r="489">
          <cell r="B489" t="str">
            <v>Persistent Systems Ltd</v>
          </cell>
          <cell r="C489">
            <v>0</v>
          </cell>
          <cell r="D489">
            <v>0.33966000000000002</v>
          </cell>
          <cell r="E489">
            <v>-0.33966000000000002</v>
          </cell>
          <cell r="F489">
            <v>0</v>
          </cell>
          <cell r="G489">
            <v>0.33977800000000002</v>
          </cell>
        </row>
        <row r="490">
          <cell r="B490" t="str">
            <v>PG Electroplast Ltd</v>
          </cell>
          <cell r="C490">
            <v>0</v>
          </cell>
          <cell r="D490">
            <v>4.5999999999999999E-2</v>
          </cell>
          <cell r="E490">
            <v>-4.5999999999999999E-2</v>
          </cell>
          <cell r="F490">
            <v>0</v>
          </cell>
          <cell r="G490">
            <v>4.6016000000000001E-2</v>
          </cell>
        </row>
        <row r="491">
          <cell r="B491" t="str">
            <v>Premier Energies Ltd</v>
          </cell>
          <cell r="C491">
            <v>0</v>
          </cell>
          <cell r="D491">
            <v>4.836E-2</v>
          </cell>
          <cell r="E491">
            <v>-4.836E-2</v>
          </cell>
          <cell r="F491">
            <v>0</v>
          </cell>
          <cell r="G491">
            <v>4.8377000000000003E-2</v>
          </cell>
        </row>
        <row r="492">
          <cell r="B492" t="str">
            <v>Ramco Systems Ltd</v>
          </cell>
          <cell r="C492">
            <v>8.6540000000000006E-2</v>
          </cell>
          <cell r="D492">
            <v>0</v>
          </cell>
          <cell r="E492">
            <v>8.6540000000000006E-2</v>
          </cell>
          <cell r="F492">
            <v>9.9689E-2</v>
          </cell>
          <cell r="G492">
            <v>0</v>
          </cell>
        </row>
        <row r="493">
          <cell r="B493" t="str">
            <v>Redington Ltd</v>
          </cell>
          <cell r="C493">
            <v>0</v>
          </cell>
          <cell r="D493">
            <v>8.0519999999999994E-2</v>
          </cell>
          <cell r="E493">
            <v>-8.0519999999999994E-2</v>
          </cell>
          <cell r="F493">
            <v>0</v>
          </cell>
          <cell r="G493">
            <v>8.0547999999999995E-2</v>
          </cell>
        </row>
        <row r="494">
          <cell r="B494" t="str">
            <v>Sonata Software Ltd</v>
          </cell>
          <cell r="C494">
            <v>0</v>
          </cell>
          <cell r="D494">
            <v>3.4819999999999997E-2</v>
          </cell>
          <cell r="E494">
            <v>-3.4819999999999997E-2</v>
          </cell>
          <cell r="F494">
            <v>0</v>
          </cell>
          <cell r="G494">
            <v>3.4832000000000002E-2</v>
          </cell>
        </row>
        <row r="495">
          <cell r="B495" t="str">
            <v>Syrma SGS Technology Ltd</v>
          </cell>
          <cell r="C495">
            <v>0</v>
          </cell>
          <cell r="D495">
            <v>2.785E-2</v>
          </cell>
          <cell r="E495">
            <v>-2.785E-2</v>
          </cell>
          <cell r="F495">
            <v>0</v>
          </cell>
          <cell r="G495">
            <v>2.7859999999999999E-2</v>
          </cell>
        </row>
        <row r="496">
          <cell r="B496" t="str">
            <v>Tata Consultancy Services Ltd</v>
          </cell>
          <cell r="C496">
            <v>0.49942999999999999</v>
          </cell>
          <cell r="D496">
            <v>1.6291899999999999</v>
          </cell>
          <cell r="E496">
            <v>-1.1297600000000001</v>
          </cell>
          <cell r="F496">
            <v>0.57531600000000005</v>
          </cell>
          <cell r="G496">
            <v>1.6297569999999999</v>
          </cell>
        </row>
        <row r="497">
          <cell r="B497" t="str">
            <v>Tata Elxsi Ltd</v>
          </cell>
          <cell r="C497">
            <v>0</v>
          </cell>
          <cell r="D497">
            <v>8.9749999999999996E-2</v>
          </cell>
          <cell r="E497">
            <v>-8.9749999999999996E-2</v>
          </cell>
          <cell r="F497">
            <v>0</v>
          </cell>
          <cell r="G497">
            <v>8.9781E-2</v>
          </cell>
        </row>
        <row r="498">
          <cell r="B498" t="str">
            <v>Tata Technologies Ltd</v>
          </cell>
          <cell r="C498">
            <v>0</v>
          </cell>
          <cell r="D498">
            <v>5.493E-2</v>
          </cell>
          <cell r="E498">
            <v>-5.493E-2</v>
          </cell>
          <cell r="F498">
            <v>0</v>
          </cell>
          <cell r="G498">
            <v>5.4948999999999998E-2</v>
          </cell>
        </row>
        <row r="499">
          <cell r="B499" t="str">
            <v>Tech Mahindra Ltd</v>
          </cell>
          <cell r="C499">
            <v>0</v>
          </cell>
          <cell r="D499">
            <v>0.50249999999999995</v>
          </cell>
          <cell r="E499">
            <v>-0.50249999999999995</v>
          </cell>
          <cell r="F499">
            <v>0</v>
          </cell>
          <cell r="G499">
            <v>0.50267499999999998</v>
          </cell>
        </row>
        <row r="500">
          <cell r="B500" t="str">
            <v>Tejas Networks Ltd</v>
          </cell>
          <cell r="C500">
            <v>0</v>
          </cell>
          <cell r="D500">
            <v>1.821E-2</v>
          </cell>
          <cell r="E500">
            <v>-1.821E-2</v>
          </cell>
          <cell r="F500">
            <v>0</v>
          </cell>
          <cell r="G500">
            <v>1.8216E-2</v>
          </cell>
        </row>
        <row r="501">
          <cell r="B501" t="str">
            <v>Waaree Energies Ltd</v>
          </cell>
          <cell r="C501">
            <v>0</v>
          </cell>
          <cell r="D501">
            <v>0.14138999999999999</v>
          </cell>
          <cell r="E501">
            <v>-0.14138999999999999</v>
          </cell>
          <cell r="F501">
            <v>0</v>
          </cell>
          <cell r="G501">
            <v>0.14143900000000001</v>
          </cell>
        </row>
        <row r="502">
          <cell r="B502" t="str">
            <v>Wipro Ltd</v>
          </cell>
          <cell r="C502">
            <v>0</v>
          </cell>
          <cell r="D502">
            <v>0.37402999999999997</v>
          </cell>
          <cell r="E502">
            <v>-0.37402999999999997</v>
          </cell>
          <cell r="F502">
            <v>0</v>
          </cell>
          <cell r="G502">
            <v>0.37415999999999999</v>
          </cell>
        </row>
        <row r="503">
          <cell r="B503" t="str">
            <v>Zensar Technologies Ltd</v>
          </cell>
          <cell r="C503">
            <v>0</v>
          </cell>
          <cell r="D503">
            <v>4.0160000000000001E-2</v>
          </cell>
          <cell r="E503">
            <v>-4.0160000000000001E-2</v>
          </cell>
          <cell r="F503">
            <v>0</v>
          </cell>
          <cell r="G503">
            <v>4.0174000000000001E-2</v>
          </cell>
        </row>
        <row r="504">
          <cell r="C504">
            <v>2.5005000000000002</v>
          </cell>
          <cell r="D504">
            <v>3.57273</v>
          </cell>
          <cell r="E504">
            <v>-1.07223</v>
          </cell>
          <cell r="F504">
            <v>2.8804400000000001</v>
          </cell>
          <cell r="G504">
            <v>3.5739740000000002</v>
          </cell>
        </row>
        <row r="505">
          <cell r="B505" t="str">
            <v>ACME Solar Holdings Ltd</v>
          </cell>
          <cell r="C505">
            <v>0</v>
          </cell>
          <cell r="D505">
            <v>1.1900000000000001E-2</v>
          </cell>
          <cell r="E505">
            <v>-1.1900000000000001E-2</v>
          </cell>
          <cell r="F505">
            <v>0</v>
          </cell>
          <cell r="G505">
            <v>1.1904E-2</v>
          </cell>
        </row>
        <row r="506">
          <cell r="B506" t="str">
            <v>Adani Energy Solutions Ltd</v>
          </cell>
          <cell r="C506">
            <v>0</v>
          </cell>
          <cell r="D506">
            <v>0.17735000000000001</v>
          </cell>
          <cell r="E506">
            <v>-0.17735000000000001</v>
          </cell>
          <cell r="F506">
            <v>0</v>
          </cell>
          <cell r="G506">
            <v>0.17741199999999999</v>
          </cell>
        </row>
        <row r="507">
          <cell r="B507" t="str">
            <v>Adani Green Energy Ltd</v>
          </cell>
          <cell r="C507">
            <v>0</v>
          </cell>
          <cell r="D507">
            <v>0.15483</v>
          </cell>
          <cell r="E507">
            <v>-0.15483</v>
          </cell>
          <cell r="F507">
            <v>0</v>
          </cell>
          <cell r="G507">
            <v>0.15488399999999999</v>
          </cell>
        </row>
        <row r="508">
          <cell r="B508" t="str">
            <v>Adani Power Ltd</v>
          </cell>
          <cell r="C508">
            <v>0</v>
          </cell>
          <cell r="D508">
            <v>0.28069</v>
          </cell>
          <cell r="E508">
            <v>-0.28069</v>
          </cell>
          <cell r="F508">
            <v>0</v>
          </cell>
          <cell r="G508">
            <v>0.28078799999999998</v>
          </cell>
        </row>
        <row r="509">
          <cell r="B509" t="str">
            <v>Adani Total Gas Ltd</v>
          </cell>
          <cell r="C509">
            <v>0</v>
          </cell>
          <cell r="D509">
            <v>7.8210000000000002E-2</v>
          </cell>
          <cell r="E509">
            <v>-7.8210000000000002E-2</v>
          </cell>
          <cell r="F509">
            <v>0</v>
          </cell>
          <cell r="G509">
            <v>7.8237000000000001E-2</v>
          </cell>
        </row>
        <row r="510">
          <cell r="B510" t="str">
            <v>CESC Ltd</v>
          </cell>
          <cell r="C510">
            <v>0</v>
          </cell>
          <cell r="D510">
            <v>5.2569999999999999E-2</v>
          </cell>
          <cell r="E510">
            <v>-5.2569999999999999E-2</v>
          </cell>
          <cell r="F510">
            <v>0</v>
          </cell>
          <cell r="G510">
            <v>5.2588000000000003E-2</v>
          </cell>
        </row>
        <row r="511">
          <cell r="B511" t="str">
            <v>GAIL (India) Ltd</v>
          </cell>
          <cell r="C511">
            <v>0</v>
          </cell>
          <cell r="D511">
            <v>0.23108999999999999</v>
          </cell>
          <cell r="E511">
            <v>-0.23108999999999999</v>
          </cell>
          <cell r="F511">
            <v>0</v>
          </cell>
          <cell r="G511">
            <v>0.23116999999999999</v>
          </cell>
        </row>
        <row r="512">
          <cell r="B512" t="str">
            <v>Gujarat Gas Ltd</v>
          </cell>
          <cell r="C512">
            <v>0</v>
          </cell>
          <cell r="D512">
            <v>3.5389999999999998E-2</v>
          </cell>
          <cell r="E512">
            <v>-3.5389999999999998E-2</v>
          </cell>
          <cell r="F512">
            <v>0</v>
          </cell>
          <cell r="G512">
            <v>3.5402000000000003E-2</v>
          </cell>
        </row>
        <row r="513">
          <cell r="B513" t="str">
            <v>Gujarat State Petronet Ltd</v>
          </cell>
          <cell r="C513">
            <v>0</v>
          </cell>
          <cell r="D513">
            <v>4.385E-2</v>
          </cell>
          <cell r="E513">
            <v>-4.385E-2</v>
          </cell>
          <cell r="F513">
            <v>0</v>
          </cell>
          <cell r="G513">
            <v>4.3865000000000001E-2</v>
          </cell>
        </row>
        <row r="514">
          <cell r="B514" t="str">
            <v>Indraprastha Gas Ltd</v>
          </cell>
          <cell r="C514">
            <v>0</v>
          </cell>
          <cell r="D514">
            <v>6.7900000000000002E-2</v>
          </cell>
          <cell r="E514">
            <v>-6.7900000000000002E-2</v>
          </cell>
          <cell r="F514">
            <v>0</v>
          </cell>
          <cell r="G514">
            <v>6.7923999999999998E-2</v>
          </cell>
        </row>
        <row r="515">
          <cell r="B515" t="str">
            <v>Jaiprakash Power Ventures Ltd</v>
          </cell>
          <cell r="C515">
            <v>0</v>
          </cell>
          <cell r="D515">
            <v>4.1590000000000002E-2</v>
          </cell>
          <cell r="E515">
            <v>-4.1590000000000002E-2</v>
          </cell>
          <cell r="F515">
            <v>0</v>
          </cell>
          <cell r="G515">
            <v>4.1604000000000002E-2</v>
          </cell>
        </row>
        <row r="516">
          <cell r="B516" t="str">
            <v>JSW Energy Ltd</v>
          </cell>
          <cell r="C516">
            <v>0</v>
          </cell>
          <cell r="D516">
            <v>0.12883</v>
          </cell>
          <cell r="E516">
            <v>-0.12883</v>
          </cell>
          <cell r="F516">
            <v>0</v>
          </cell>
          <cell r="G516">
            <v>0.12887499999999999</v>
          </cell>
        </row>
        <row r="517">
          <cell r="B517" t="str">
            <v>Mahanagar Gas Ltd</v>
          </cell>
          <cell r="C517">
            <v>0</v>
          </cell>
          <cell r="D517">
            <v>3.2210000000000003E-2</v>
          </cell>
          <cell r="E517">
            <v>-3.2210000000000003E-2</v>
          </cell>
          <cell r="F517">
            <v>0</v>
          </cell>
          <cell r="G517">
            <v>3.2221E-2</v>
          </cell>
        </row>
        <row r="518">
          <cell r="B518" t="str">
            <v>NHPC Ltd</v>
          </cell>
          <cell r="C518">
            <v>0</v>
          </cell>
          <cell r="D518">
            <v>0.12472999999999999</v>
          </cell>
          <cell r="E518">
            <v>-0.12472999999999999</v>
          </cell>
          <cell r="F518">
            <v>0</v>
          </cell>
          <cell r="G518">
            <v>0.124773</v>
          </cell>
        </row>
        <row r="519">
          <cell r="B519" t="str">
            <v>NLC India Ltd</v>
          </cell>
          <cell r="C519">
            <v>0</v>
          </cell>
          <cell r="D519">
            <v>4.0620000000000003E-2</v>
          </cell>
          <cell r="E519">
            <v>-4.0620000000000003E-2</v>
          </cell>
          <cell r="F519">
            <v>0</v>
          </cell>
          <cell r="G519">
            <v>4.0634000000000003E-2</v>
          </cell>
        </row>
        <row r="520">
          <cell r="B520" t="str">
            <v>NTPC Green Energy Ltd</v>
          </cell>
          <cell r="C520">
            <v>0</v>
          </cell>
          <cell r="D520">
            <v>4.3700000000000003E-2</v>
          </cell>
          <cell r="E520">
            <v>-4.3700000000000003E-2</v>
          </cell>
          <cell r="F520">
            <v>0</v>
          </cell>
          <cell r="G520">
            <v>4.3714999999999997E-2</v>
          </cell>
        </row>
        <row r="521">
          <cell r="B521" t="str">
            <v>NTPC Ltd</v>
          </cell>
          <cell r="C521">
            <v>0</v>
          </cell>
          <cell r="D521">
            <v>0.77739000000000003</v>
          </cell>
          <cell r="E521">
            <v>-0.77739000000000003</v>
          </cell>
          <cell r="F521">
            <v>0</v>
          </cell>
          <cell r="G521">
            <v>0.77766100000000005</v>
          </cell>
        </row>
        <row r="522">
          <cell r="B522" t="str">
            <v>Power Grid Corp Of India Ltd</v>
          </cell>
          <cell r="C522">
            <v>2.5005000000000002</v>
          </cell>
          <cell r="D522">
            <v>0.59635000000000005</v>
          </cell>
          <cell r="E522">
            <v>1.90415</v>
          </cell>
          <cell r="F522">
            <v>2.8804400000000001</v>
          </cell>
          <cell r="G522">
            <v>0.59655800000000003</v>
          </cell>
        </row>
        <row r="523">
          <cell r="B523" t="str">
            <v>Reliance Infrastructure Ltd</v>
          </cell>
          <cell r="C523">
            <v>0</v>
          </cell>
          <cell r="D523">
            <v>2.3640000000000001E-2</v>
          </cell>
          <cell r="E523">
            <v>-2.3640000000000001E-2</v>
          </cell>
          <cell r="F523">
            <v>0</v>
          </cell>
          <cell r="G523">
            <v>2.3647999999999999E-2</v>
          </cell>
        </row>
        <row r="524">
          <cell r="B524" t="str">
            <v>Reliance Power Ltd</v>
          </cell>
          <cell r="C524">
            <v>0</v>
          </cell>
          <cell r="D524">
            <v>4.9700000000000001E-2</v>
          </cell>
          <cell r="E524">
            <v>-4.9700000000000001E-2</v>
          </cell>
          <cell r="F524">
            <v>0</v>
          </cell>
          <cell r="G524">
            <v>4.9716999999999997E-2</v>
          </cell>
        </row>
        <row r="525">
          <cell r="B525" t="str">
            <v>Siemens Energy India Ltd</v>
          </cell>
          <cell r="C525">
            <v>0</v>
          </cell>
          <cell r="D525">
            <v>0.11267000000000001</v>
          </cell>
          <cell r="E525">
            <v>-0.11267000000000001</v>
          </cell>
          <cell r="F525">
            <v>0</v>
          </cell>
          <cell r="G525">
            <v>0.112709</v>
          </cell>
        </row>
        <row r="526">
          <cell r="B526" t="str">
            <v>SJVN Ltd</v>
          </cell>
          <cell r="C526">
            <v>0</v>
          </cell>
          <cell r="D526">
            <v>2.6620000000000001E-2</v>
          </cell>
          <cell r="E526">
            <v>-2.6620000000000001E-2</v>
          </cell>
          <cell r="F526">
            <v>0</v>
          </cell>
          <cell r="G526">
            <v>2.6629E-2</v>
          </cell>
        </row>
        <row r="527">
          <cell r="B527" t="str">
            <v>Tata Power Co Ltd</v>
          </cell>
          <cell r="C527">
            <v>0</v>
          </cell>
          <cell r="D527">
            <v>0.31719999999999998</v>
          </cell>
          <cell r="E527">
            <v>-0.31719999999999998</v>
          </cell>
          <cell r="F527">
            <v>0</v>
          </cell>
          <cell r="G527">
            <v>0.31730999999999998</v>
          </cell>
        </row>
        <row r="528">
          <cell r="B528" t="str">
            <v>Torrent Power Ltd</v>
          </cell>
          <cell r="C528">
            <v>0</v>
          </cell>
          <cell r="D528">
            <v>0.1237</v>
          </cell>
          <cell r="E528">
            <v>-0.1237</v>
          </cell>
          <cell r="F528">
            <v>0</v>
          </cell>
          <cell r="G528">
            <v>0.12374300000000001</v>
          </cell>
        </row>
        <row r="529">
          <cell r="C529">
            <v>86.809659999999994</v>
          </cell>
          <cell r="D529">
            <v>99.965190000000007</v>
          </cell>
          <cell r="E529">
            <v>-13.155530000000001</v>
          </cell>
          <cell r="F529">
            <v>100</v>
          </cell>
          <cell r="G529">
            <v>100</v>
          </cell>
        </row>
        <row r="530">
          <cell r="C530">
            <v>0.53491999999999995</v>
          </cell>
          <cell r="D530">
            <v>0</v>
          </cell>
          <cell r="E530">
            <v>0.53491999999999995</v>
          </cell>
        </row>
        <row r="531">
          <cell r="B531" t="str">
            <v>7.38% Gs 2027</v>
          </cell>
          <cell r="C531">
            <v>0</v>
          </cell>
          <cell r="D531">
            <v>0</v>
          </cell>
          <cell r="E531">
            <v>0</v>
          </cell>
        </row>
        <row r="532">
          <cell r="B532" t="str">
            <v>7.32% Gs 2030</v>
          </cell>
          <cell r="C532">
            <v>0</v>
          </cell>
          <cell r="D532">
            <v>0</v>
          </cell>
          <cell r="E532">
            <v>0</v>
          </cell>
        </row>
        <row r="533">
          <cell r="B533" t="str">
            <v>7.37% Gs 2028</v>
          </cell>
          <cell r="C533">
            <v>0</v>
          </cell>
          <cell r="D533">
            <v>0</v>
          </cell>
          <cell r="E533">
            <v>0</v>
          </cell>
        </row>
        <row r="534">
          <cell r="B534" t="str">
            <v>7.38% Govt Stock 2027</v>
          </cell>
          <cell r="C534">
            <v>0.30830999999999997</v>
          </cell>
          <cell r="D534">
            <v>0</v>
          </cell>
          <cell r="E534">
            <v>0.30830999999999997</v>
          </cell>
        </row>
        <row r="535">
          <cell r="B535" t="str">
            <v>7.32% Govt Stock 2030</v>
          </cell>
          <cell r="C535">
            <v>0.11863</v>
          </cell>
          <cell r="D535">
            <v>0</v>
          </cell>
          <cell r="E535">
            <v>0.11863</v>
          </cell>
        </row>
        <row r="536">
          <cell r="B536" t="str">
            <v>7.37% Govt Stock 2028</v>
          </cell>
          <cell r="C536">
            <v>0.10798000000000001</v>
          </cell>
          <cell r="D536">
            <v>0</v>
          </cell>
          <cell r="E536">
            <v>0.10798000000000001</v>
          </cell>
        </row>
        <row r="537">
          <cell r="C537">
            <v>12.733879999999999</v>
          </cell>
          <cell r="D537">
            <v>1.4409999999999999E-2</v>
          </cell>
          <cell r="E537">
            <v>12.719469999999999</v>
          </cell>
        </row>
        <row r="538">
          <cell r="B538" t="str">
            <v>India 364 day T-Bill TR INR</v>
          </cell>
          <cell r="C538">
            <v>12.733879999999999</v>
          </cell>
          <cell r="D538">
            <v>1.4409999999999999E-2</v>
          </cell>
          <cell r="E538">
            <v>12.719469999999999</v>
          </cell>
        </row>
        <row r="539">
          <cell r="C539">
            <v>0</v>
          </cell>
          <cell r="D539">
            <v>2.0410000000000001E-2</v>
          </cell>
          <cell r="E539">
            <v>-2.0410000000000001E-2</v>
          </cell>
        </row>
        <row r="540">
          <cell r="B540" t="str">
            <v>Kwality Credit &amp; Leasing Ltd</v>
          </cell>
          <cell r="C540">
            <v>0</v>
          </cell>
          <cell r="D540">
            <v>1.6459999999999999E-2</v>
          </cell>
          <cell r="E540">
            <v>-1.6459999999999999E-2</v>
          </cell>
        </row>
        <row r="541">
          <cell r="B541" t="str">
            <v>Kwality Walls (India) Limited</v>
          </cell>
          <cell r="C541">
            <v>0</v>
          </cell>
          <cell r="D541">
            <v>0</v>
          </cell>
          <cell r="E541">
            <v>0</v>
          </cell>
        </row>
        <row r="542">
          <cell r="B542" t="str">
            <v>Tvs Motor Company Limited</v>
          </cell>
          <cell r="C542">
            <v>0</v>
          </cell>
          <cell r="D542">
            <v>0</v>
          </cell>
          <cell r="E542">
            <v>0</v>
          </cell>
        </row>
        <row r="543">
          <cell r="B543" t="str">
            <v>Tvs Motor Company Limited</v>
          </cell>
          <cell r="C543">
            <v>0</v>
          </cell>
          <cell r="D543">
            <v>3.9500000000000004E-3</v>
          </cell>
          <cell r="E543">
            <v>-3.9500000000000004E-3</v>
          </cell>
        </row>
        <row r="544">
          <cell r="C544">
            <v>100.07846000000001</v>
          </cell>
          <cell r="D544">
            <v>100.00001</v>
          </cell>
          <cell r="E544">
            <v>7.8450000000000006E-2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showGridLines="0" topLeftCell="A72" zoomScale="81" workbookViewId="0">
      <selection activeCell="B81" sqref="B81"/>
    </sheetView>
  </sheetViews>
  <sheetFormatPr defaultRowHeight="14.5" x14ac:dyDescent="0.35"/>
  <cols>
    <col min="1" max="1" width="30.54296875" bestFit="1" customWidth="1"/>
    <col min="2" max="2" width="24" customWidth="1"/>
    <col min="3" max="3" width="16" bestFit="1" customWidth="1"/>
    <col min="4" max="4" width="13.7265625" customWidth="1"/>
    <col min="5" max="5" width="13.1796875" customWidth="1"/>
    <col min="6" max="6" width="22.1796875" bestFit="1" customWidth="1"/>
    <col min="7" max="7" width="13.7265625" bestFit="1" customWidth="1"/>
    <col min="8" max="8" width="38.453125" bestFit="1" customWidth="1"/>
    <col min="9" max="9" width="10.81640625" customWidth="1"/>
    <col min="10" max="10" width="12.1796875" customWidth="1"/>
    <col min="11" max="11" width="12.7265625" customWidth="1"/>
    <col min="13" max="13" width="11.54296875" customWidth="1"/>
  </cols>
  <sheetData>
    <row r="1" spans="1:9" x14ac:dyDescent="0.35">
      <c r="A1" s="8" t="s">
        <v>0</v>
      </c>
      <c r="B1" s="9">
        <v>46022</v>
      </c>
    </row>
    <row r="3" spans="1:9" x14ac:dyDescent="0.35">
      <c r="A3" s="17" t="s">
        <v>1</v>
      </c>
      <c r="B3" s="17" t="s">
        <v>57</v>
      </c>
      <c r="C3" s="12" t="s">
        <v>58</v>
      </c>
      <c r="D3" s="18">
        <v>96294.990600000005</v>
      </c>
      <c r="E3" s="12" t="s">
        <v>53</v>
      </c>
      <c r="F3" s="24">
        <v>1.3299999999999999E-2</v>
      </c>
      <c r="G3" s="12" t="s">
        <v>56</v>
      </c>
      <c r="H3" s="1" t="s">
        <v>88</v>
      </c>
    </row>
    <row r="5" spans="1:9" x14ac:dyDescent="0.35">
      <c r="A5" s="10" t="s">
        <v>2</v>
      </c>
    </row>
    <row r="6" spans="1:9" ht="29" x14ac:dyDescent="0.35">
      <c r="A6" s="11" t="s">
        <v>3</v>
      </c>
      <c r="B6" s="11" t="s">
        <v>2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  <c r="I6" s="11" t="s">
        <v>59</v>
      </c>
    </row>
    <row r="7" spans="1:9" ht="29" x14ac:dyDescent="0.35">
      <c r="A7" s="20" t="s">
        <v>99</v>
      </c>
      <c r="B7" s="21">
        <v>23.685886</v>
      </c>
      <c r="C7" s="21">
        <v>13.321999999999999</v>
      </c>
      <c r="D7" s="19">
        <f>B7-C7</f>
        <v>10.363886000000001</v>
      </c>
      <c r="E7" s="21">
        <v>15.6907</v>
      </c>
      <c r="F7" s="19">
        <f>B7-E7</f>
        <v>7.9951860000000003</v>
      </c>
      <c r="G7" s="19">
        <v>16.084371041666667</v>
      </c>
      <c r="H7" s="12">
        <v>1</v>
      </c>
      <c r="I7" s="12">
        <v>24</v>
      </c>
    </row>
    <row r="8" spans="1:9" x14ac:dyDescent="0.35">
      <c r="A8" s="1" t="s">
        <v>4</v>
      </c>
      <c r="B8" s="21">
        <v>12.248379999999999</v>
      </c>
      <c r="C8" s="21">
        <v>11.098286</v>
      </c>
      <c r="D8" s="19">
        <f>B8-C8</f>
        <v>1.1500939999999993</v>
      </c>
      <c r="E8" s="21">
        <v>11.865295</v>
      </c>
      <c r="F8" s="19">
        <f>B8-E8</f>
        <v>0.38308499999999945</v>
      </c>
      <c r="G8" s="19">
        <v>11.179510051282053</v>
      </c>
      <c r="H8" s="12">
        <v>16</v>
      </c>
      <c r="I8" s="12">
        <v>39</v>
      </c>
    </row>
    <row r="9" spans="1:9" x14ac:dyDescent="0.35">
      <c r="A9" s="1" t="s">
        <v>5</v>
      </c>
      <c r="B9" s="19">
        <v>3.6817289999999998</v>
      </c>
      <c r="C9" s="19">
        <v>2.4005339999999999</v>
      </c>
      <c r="D9" s="19">
        <f t="shared" ref="D9:D11" si="0">B9-C9</f>
        <v>1.2811949999999999</v>
      </c>
      <c r="E9" s="19">
        <v>1.07697</v>
      </c>
      <c r="F9" s="19">
        <f t="shared" ref="F9:F11" si="1">B9-E9</f>
        <v>2.6047589999999996</v>
      </c>
      <c r="G9" s="19">
        <v>0.54569475000000001</v>
      </c>
      <c r="H9" s="12">
        <v>6</v>
      </c>
      <c r="I9" s="12">
        <v>40</v>
      </c>
    </row>
    <row r="10" spans="1:9" x14ac:dyDescent="0.35">
      <c r="A10" s="1" t="s">
        <v>6</v>
      </c>
      <c r="B10" s="19">
        <v>3.4623560000000002</v>
      </c>
      <c r="C10" s="19">
        <v>6.1699729999999997</v>
      </c>
      <c r="D10" s="19">
        <f t="shared" si="0"/>
        <v>-2.7076169999999995</v>
      </c>
      <c r="E10" s="19">
        <v>5.0032769999999998</v>
      </c>
      <c r="F10" s="19">
        <f t="shared" si="1"/>
        <v>-1.5409209999999995</v>
      </c>
      <c r="G10" s="19">
        <v>3.3570786829268302</v>
      </c>
      <c r="H10" s="12">
        <v>19</v>
      </c>
      <c r="I10" s="12">
        <v>41</v>
      </c>
    </row>
    <row r="11" spans="1:9" x14ac:dyDescent="0.35">
      <c r="A11" s="1" t="s">
        <v>7</v>
      </c>
      <c r="B11" s="19">
        <v>-0.31090000000000001</v>
      </c>
      <c r="C11" s="19">
        <v>-0.27993000000000001</v>
      </c>
      <c r="D11" s="19">
        <f t="shared" si="0"/>
        <v>-3.0969999999999998E-2</v>
      </c>
      <c r="E11" s="19">
        <v>-0.25758999999999999</v>
      </c>
      <c r="F11" s="19">
        <f t="shared" si="1"/>
        <v>-5.3310000000000024E-2</v>
      </c>
      <c r="G11" s="19">
        <v>-0.85063170731707316</v>
      </c>
      <c r="H11" s="12">
        <v>14</v>
      </c>
      <c r="I11" s="12">
        <v>41</v>
      </c>
    </row>
    <row r="13" spans="1:9" x14ac:dyDescent="0.35">
      <c r="A13" s="10" t="s">
        <v>54</v>
      </c>
    </row>
    <row r="14" spans="1:9" x14ac:dyDescent="0.35">
      <c r="A14" s="14" t="s">
        <v>55</v>
      </c>
      <c r="B14" s="12" t="s">
        <v>31</v>
      </c>
    </row>
    <row r="15" spans="1:9" x14ac:dyDescent="0.35">
      <c r="A15" s="13" t="s">
        <v>26</v>
      </c>
      <c r="B15" s="19">
        <v>71.630099999999999</v>
      </c>
    </row>
    <row r="16" spans="1:9" x14ac:dyDescent="0.35">
      <c r="A16" s="13" t="s">
        <v>27</v>
      </c>
      <c r="B16" s="19">
        <v>4.5704000000000002</v>
      </c>
    </row>
    <row r="17" spans="1:7" x14ac:dyDescent="0.35">
      <c r="A17" s="13" t="s">
        <v>28</v>
      </c>
      <c r="B17" s="19">
        <v>8.2532999999999994</v>
      </c>
    </row>
    <row r="18" spans="1:7" x14ac:dyDescent="0.35">
      <c r="A18" s="13" t="s">
        <v>29</v>
      </c>
      <c r="B18" s="19">
        <f>100-B15-B16-B17-B19</f>
        <v>2.8868000000000027</v>
      </c>
    </row>
    <row r="19" spans="1:7" x14ac:dyDescent="0.35">
      <c r="A19" s="13" t="s">
        <v>30</v>
      </c>
      <c r="B19" s="19">
        <v>12.6594</v>
      </c>
    </row>
    <row r="20" spans="1:7" x14ac:dyDescent="0.35">
      <c r="A20" s="4"/>
    </row>
    <row r="21" spans="1:7" x14ac:dyDescent="0.35">
      <c r="A21" s="3"/>
      <c r="B21" s="9">
        <v>46022</v>
      </c>
    </row>
    <row r="22" spans="1:7" x14ac:dyDescent="0.35">
      <c r="A22" s="3" t="s">
        <v>32</v>
      </c>
      <c r="B22" s="12">
        <v>53</v>
      </c>
    </row>
    <row r="23" spans="1:7" x14ac:dyDescent="0.35">
      <c r="A23" s="4"/>
    </row>
    <row r="25" spans="1:7" x14ac:dyDescent="0.35">
      <c r="A25" s="10" t="s">
        <v>18</v>
      </c>
      <c r="B25" s="15"/>
    </row>
    <row r="26" spans="1:7" x14ac:dyDescent="0.35">
      <c r="A26" s="12" t="s">
        <v>14</v>
      </c>
      <c r="B26" s="12" t="s">
        <v>15</v>
      </c>
      <c r="C26" s="12" t="s">
        <v>16</v>
      </c>
      <c r="D26" s="12"/>
      <c r="E26" s="12" t="s">
        <v>17</v>
      </c>
      <c r="F26" s="12" t="s">
        <v>15</v>
      </c>
      <c r="G26" s="12" t="s">
        <v>16</v>
      </c>
    </row>
    <row r="27" spans="1:7" x14ac:dyDescent="0.35">
      <c r="A27" s="1" t="s">
        <v>60</v>
      </c>
      <c r="B27" s="12">
        <v>0.35320000000000001</v>
      </c>
      <c r="C27" s="1" t="s">
        <v>61</v>
      </c>
      <c r="D27" s="1"/>
      <c r="E27" s="1"/>
      <c r="F27" s="1"/>
      <c r="G27" s="1"/>
    </row>
    <row r="29" spans="1:7" x14ac:dyDescent="0.35">
      <c r="A29" s="15" t="s">
        <v>19</v>
      </c>
      <c r="B29" s="15"/>
    </row>
    <row r="30" spans="1:7" x14ac:dyDescent="0.35">
      <c r="A30" s="1"/>
      <c r="B30" s="9">
        <v>46022</v>
      </c>
    </row>
    <row r="31" spans="1:7" x14ac:dyDescent="0.35">
      <c r="A31" s="1" t="s">
        <v>20</v>
      </c>
      <c r="B31" s="12" t="s">
        <v>62</v>
      </c>
    </row>
    <row r="32" spans="1:7" x14ac:dyDescent="0.35">
      <c r="B32" s="16"/>
    </row>
    <row r="33" spans="1:4" x14ac:dyDescent="0.35">
      <c r="A33" s="1"/>
      <c r="B33" s="9">
        <v>46022</v>
      </c>
    </row>
    <row r="34" spans="1:4" x14ac:dyDescent="0.35">
      <c r="A34" s="1" t="s">
        <v>21</v>
      </c>
      <c r="B34" s="28">
        <v>0.18115498862485349</v>
      </c>
    </row>
    <row r="35" spans="1:4" x14ac:dyDescent="0.35">
      <c r="A35" s="1" t="s">
        <v>22</v>
      </c>
      <c r="B35" s="28">
        <v>0.15923817893983169</v>
      </c>
    </row>
    <row r="36" spans="1:4" x14ac:dyDescent="0.35">
      <c r="A36" s="1" t="s">
        <v>23</v>
      </c>
      <c r="B36" s="28">
        <f>B34-B35</f>
        <v>2.1916809685021799E-2</v>
      </c>
    </row>
    <row r="37" spans="1:4" x14ac:dyDescent="0.35">
      <c r="B37" s="16"/>
    </row>
    <row r="38" spans="1:4" x14ac:dyDescent="0.35">
      <c r="A38" s="1"/>
      <c r="B38" s="9">
        <v>46022</v>
      </c>
    </row>
    <row r="39" spans="1:4" x14ac:dyDescent="0.35">
      <c r="A39" s="1" t="s">
        <v>24</v>
      </c>
      <c r="B39" s="19">
        <v>55.936893111997527</v>
      </c>
    </row>
    <row r="40" spans="1:4" x14ac:dyDescent="0.35">
      <c r="B40" s="16"/>
    </row>
    <row r="41" spans="1:4" x14ac:dyDescent="0.35">
      <c r="A41" s="1"/>
      <c r="B41" s="9">
        <v>46022</v>
      </c>
    </row>
    <row r="42" spans="1:4" x14ac:dyDescent="0.35">
      <c r="A42" s="1" t="s">
        <v>47</v>
      </c>
      <c r="B42" s="18">
        <v>2604.1312838465092</v>
      </c>
    </row>
    <row r="44" spans="1:4" x14ac:dyDescent="0.35">
      <c r="A44" t="s">
        <v>33</v>
      </c>
    </row>
    <row r="45" spans="1:4" ht="29" x14ac:dyDescent="0.35">
      <c r="A45" s="5" t="s">
        <v>34</v>
      </c>
      <c r="B45" s="5" t="s">
        <v>35</v>
      </c>
      <c r="C45" s="2" t="s">
        <v>36</v>
      </c>
      <c r="D45" s="5" t="s">
        <v>37</v>
      </c>
    </row>
    <row r="46" spans="1:4" x14ac:dyDescent="0.35">
      <c r="A46" s="1" t="s">
        <v>67</v>
      </c>
      <c r="B46" s="19"/>
      <c r="C46" s="22">
        <v>8.897527385415648</v>
      </c>
      <c r="D46" s="23">
        <v>8.897527385415648</v>
      </c>
    </row>
    <row r="47" spans="1:4" x14ac:dyDescent="0.35">
      <c r="A47" s="1" t="s">
        <v>63</v>
      </c>
      <c r="B47" s="19">
        <v>8.4405636776706796</v>
      </c>
      <c r="C47" s="22">
        <v>12.723038806620476</v>
      </c>
      <c r="D47" s="23">
        <v>4.2824751289497964</v>
      </c>
    </row>
    <row r="48" spans="1:4" x14ac:dyDescent="0.35">
      <c r="A48" s="1" t="s">
        <v>64</v>
      </c>
      <c r="B48" s="19">
        <v>7.1185011362366799</v>
      </c>
      <c r="C48" s="22">
        <v>3.0528391348774626</v>
      </c>
      <c r="D48" s="23">
        <v>4.0656620013592173</v>
      </c>
    </row>
    <row r="49" spans="1:12" x14ac:dyDescent="0.35">
      <c r="A49" s="1" t="s">
        <v>65</v>
      </c>
      <c r="B49" s="19">
        <v>4.2263880754769003</v>
      </c>
      <c r="C49" s="22">
        <v>0.7665150336886839</v>
      </c>
      <c r="D49" s="23">
        <v>3.4598730417882164</v>
      </c>
    </row>
    <row r="50" spans="1:12" x14ac:dyDescent="0.35">
      <c r="A50" s="1" t="s">
        <v>68</v>
      </c>
      <c r="B50" s="19"/>
      <c r="C50" s="22">
        <v>3.2589156350286306</v>
      </c>
      <c r="D50" s="23">
        <v>3.2589156350286306</v>
      </c>
    </row>
    <row r="51" spans="1:12" x14ac:dyDescent="0.35">
      <c r="A51" s="1" t="s">
        <v>69</v>
      </c>
      <c r="B51" s="19">
        <v>1.0015417146735801</v>
      </c>
      <c r="C51" s="22">
        <v>4.0241617779141645</v>
      </c>
      <c r="D51" s="23">
        <v>3.0226200632405842</v>
      </c>
    </row>
    <row r="52" spans="1:12" x14ac:dyDescent="0.35">
      <c r="A52" s="1" t="s">
        <v>70</v>
      </c>
      <c r="B52" s="19">
        <v>1.79018980038199</v>
      </c>
      <c r="C52" s="22">
        <v>4.7481776079980538</v>
      </c>
      <c r="D52" s="23">
        <v>2.9579878076160639</v>
      </c>
    </row>
    <row r="53" spans="1:12" x14ac:dyDescent="0.35">
      <c r="A53" s="1" t="s">
        <v>71</v>
      </c>
      <c r="B53" s="19"/>
      <c r="C53" s="22">
        <v>2.7784926525592741</v>
      </c>
      <c r="D53" s="23">
        <v>2.7784926525592741</v>
      </c>
    </row>
    <row r="54" spans="1:12" x14ac:dyDescent="0.35">
      <c r="A54" s="1" t="s">
        <v>66</v>
      </c>
      <c r="B54" s="19">
        <v>3.2958412272797899</v>
      </c>
      <c r="C54" s="22">
        <v>0.71351403904721111</v>
      </c>
      <c r="D54" s="23">
        <v>2.5823271882325787</v>
      </c>
    </row>
    <row r="55" spans="1:12" x14ac:dyDescent="0.35">
      <c r="A55" s="1" t="s">
        <v>72</v>
      </c>
      <c r="B55" s="19">
        <v>2.40527569042621</v>
      </c>
      <c r="C55" s="22">
        <v>4.9232893506195312</v>
      </c>
      <c r="D55" s="23">
        <v>2.5180136601933212</v>
      </c>
    </row>
    <row r="58" spans="1:12" x14ac:dyDescent="0.35">
      <c r="A58" s="10" t="s">
        <v>25</v>
      </c>
    </row>
    <row r="59" spans="1:12" x14ac:dyDescent="0.35">
      <c r="A59" t="s">
        <v>38</v>
      </c>
    </row>
    <row r="60" spans="1:12" ht="29" x14ac:dyDescent="0.35">
      <c r="A60" s="6" t="s">
        <v>39</v>
      </c>
      <c r="B60" s="6" t="s">
        <v>40</v>
      </c>
      <c r="C60" s="6" t="s">
        <v>36</v>
      </c>
      <c r="D60" s="6" t="s">
        <v>41</v>
      </c>
      <c r="E60" s="6" t="s">
        <v>42</v>
      </c>
      <c r="H60" s="6" t="s">
        <v>43</v>
      </c>
      <c r="I60" s="6" t="s">
        <v>40</v>
      </c>
      <c r="J60" s="6" t="s">
        <v>36</v>
      </c>
      <c r="K60" s="6" t="s">
        <v>41</v>
      </c>
      <c r="L60" s="6" t="s">
        <v>42</v>
      </c>
    </row>
    <row r="61" spans="1:12" x14ac:dyDescent="0.35">
      <c r="A61" s="26" t="s">
        <v>61</v>
      </c>
      <c r="B61" s="27">
        <v>17.092666999999999</v>
      </c>
      <c r="C61" s="27">
        <v>11.378609000000001</v>
      </c>
      <c r="D61" s="25">
        <f>B61-C61</f>
        <v>5.7140579999999979</v>
      </c>
      <c r="E61" s="27">
        <v>0.25775399999999998</v>
      </c>
      <c r="H61" s="26" t="s">
        <v>85</v>
      </c>
      <c r="I61" s="27">
        <v>8.8727870000000006</v>
      </c>
      <c r="J61" s="27">
        <v>6.4118320000000004</v>
      </c>
      <c r="K61" s="25">
        <f>I61-J61</f>
        <v>2.4609550000000002</v>
      </c>
      <c r="L61" s="27">
        <v>-0.25881999999999999</v>
      </c>
    </row>
    <row r="62" spans="1:12" x14ac:dyDescent="0.35">
      <c r="A62" s="26" t="s">
        <v>83</v>
      </c>
      <c r="B62" s="27">
        <v>5.8627909999999996</v>
      </c>
      <c r="C62" s="27">
        <v>7.92903</v>
      </c>
      <c r="D62" s="25">
        <f t="shared" ref="D62:D63" si="2">B62-C62</f>
        <v>-2.0662390000000004</v>
      </c>
      <c r="E62" s="27">
        <v>0.19905500000000001</v>
      </c>
      <c r="H62" s="26" t="s">
        <v>86</v>
      </c>
      <c r="I62" s="27">
        <v>45.160806999999998</v>
      </c>
      <c r="J62" s="27">
        <v>31.329384000000001</v>
      </c>
      <c r="K62" s="25">
        <f t="shared" ref="K62:K63" si="3">I62-J62</f>
        <v>13.831422999999997</v>
      </c>
      <c r="L62" s="27">
        <v>-0.20721600000000001</v>
      </c>
    </row>
    <row r="63" spans="1:12" x14ac:dyDescent="0.35">
      <c r="A63" s="26" t="s">
        <v>84</v>
      </c>
      <c r="B63" s="27">
        <v>6.0507210000000002</v>
      </c>
      <c r="C63" s="27">
        <v>9.215643</v>
      </c>
      <c r="D63" s="25">
        <f t="shared" si="2"/>
        <v>-3.1649219999999998</v>
      </c>
      <c r="E63" s="27">
        <v>9.6684000000000006E-2</v>
      </c>
      <c r="H63" s="26" t="s">
        <v>87</v>
      </c>
      <c r="I63" s="27">
        <v>5.6676659999999996</v>
      </c>
      <c r="J63" s="27">
        <v>10.794354</v>
      </c>
      <c r="K63" s="25">
        <f t="shared" si="3"/>
        <v>-5.1266880000000006</v>
      </c>
      <c r="L63" s="27">
        <v>-0.172684</v>
      </c>
    </row>
    <row r="64" spans="1:12" x14ac:dyDescent="0.35">
      <c r="A64" s="6"/>
      <c r="B64" s="6"/>
      <c r="C64" s="6"/>
      <c r="D64" s="6"/>
      <c r="E64" s="6"/>
      <c r="H64" s="6"/>
      <c r="I64" s="6"/>
      <c r="J64" s="6"/>
      <c r="K64" s="6"/>
      <c r="L64" s="6"/>
    </row>
    <row r="66" spans="1:13" ht="43.5" x14ac:dyDescent="0.35">
      <c r="A66" s="6" t="s">
        <v>45</v>
      </c>
      <c r="B66" s="6" t="s">
        <v>40</v>
      </c>
      <c r="C66" s="6" t="s">
        <v>36</v>
      </c>
      <c r="D66" s="6" t="s">
        <v>41</v>
      </c>
      <c r="E66" s="6" t="s">
        <v>42</v>
      </c>
      <c r="F66" s="6" t="s">
        <v>46</v>
      </c>
      <c r="G66" s="7"/>
      <c r="H66" s="6" t="s">
        <v>44</v>
      </c>
      <c r="I66" s="6" t="s">
        <v>40</v>
      </c>
      <c r="J66" s="6" t="s">
        <v>36</v>
      </c>
      <c r="K66" s="6" t="s">
        <v>41</v>
      </c>
      <c r="L66" s="6" t="s">
        <v>42</v>
      </c>
      <c r="M66" s="6" t="s">
        <v>46</v>
      </c>
    </row>
    <row r="67" spans="1:13" x14ac:dyDescent="0.35">
      <c r="A67" s="26" t="s">
        <v>73</v>
      </c>
      <c r="B67" s="27">
        <v>3.8119529999999999</v>
      </c>
      <c r="C67" s="22" t="e">
        <f>VLOOKUP(A67,#REF!,6,0)</f>
        <v>#REF!</v>
      </c>
      <c r="D67" s="25" t="e">
        <f>B67-C67</f>
        <v>#REF!</v>
      </c>
      <c r="E67" s="27">
        <v>0.191077</v>
      </c>
      <c r="F67" s="6"/>
      <c r="G67" s="7"/>
      <c r="H67" s="26" t="s">
        <v>89</v>
      </c>
      <c r="I67" s="27">
        <v>10.654662999999999</v>
      </c>
      <c r="J67" s="22" t="e">
        <f>VLOOKUP(H67,#REF!,6,0)</f>
        <v>#REF!</v>
      </c>
      <c r="K67" s="25" t="e">
        <f>I67-J67</f>
        <v>#REF!</v>
      </c>
      <c r="L67" s="6"/>
      <c r="M67" s="27">
        <v>-0.35213800000000001</v>
      </c>
    </row>
    <row r="68" spans="1:13" x14ac:dyDescent="0.35">
      <c r="A68" s="26" t="s">
        <v>74</v>
      </c>
      <c r="B68" s="27">
        <v>4.63476</v>
      </c>
      <c r="C68" s="22" t="e">
        <f>VLOOKUP(A68,#REF!,6,0)</f>
        <v>#REF!</v>
      </c>
      <c r="D68" s="25" t="e">
        <f t="shared" ref="D68:D76" si="4">B68-C68</f>
        <v>#REF!</v>
      </c>
      <c r="E68" s="27">
        <v>0.16733500000000001</v>
      </c>
      <c r="F68" s="6"/>
      <c r="G68" s="7"/>
      <c r="H68" s="26" t="s">
        <v>90</v>
      </c>
      <c r="I68" s="27">
        <v>1.4148559999999999</v>
      </c>
      <c r="J68" s="22" t="e">
        <f>VLOOKUP(H68,#REF!,6,0)</f>
        <v>#REF!</v>
      </c>
      <c r="K68" s="25" t="e">
        <f t="shared" ref="K68:K76" si="5">I68-J68</f>
        <v>#REF!</v>
      </c>
      <c r="L68" s="6"/>
      <c r="M68" s="27">
        <v>-0.20186499999999999</v>
      </c>
    </row>
    <row r="69" spans="1:13" x14ac:dyDescent="0.35">
      <c r="A69" s="26" t="s">
        <v>75</v>
      </c>
      <c r="B69" s="27">
        <v>4.7133890000000003</v>
      </c>
      <c r="C69" s="22" t="e">
        <f>VLOOKUP(A69,#REF!,6,0)</f>
        <v>#REF!</v>
      </c>
      <c r="D69" s="25" t="e">
        <f t="shared" si="4"/>
        <v>#REF!</v>
      </c>
      <c r="E69" s="27">
        <v>0.159252</v>
      </c>
      <c r="F69" s="6"/>
      <c r="G69" s="7"/>
      <c r="H69" s="26" t="s">
        <v>91</v>
      </c>
      <c r="I69" s="27">
        <v>2.0197259999999999</v>
      </c>
      <c r="J69" s="22" t="e">
        <f>VLOOKUP(H69,#REF!,6,0)</f>
        <v>#REF!</v>
      </c>
      <c r="K69" s="25" t="e">
        <f t="shared" si="5"/>
        <v>#REF!</v>
      </c>
      <c r="L69" s="6"/>
      <c r="M69" s="27">
        <v>-0.162246</v>
      </c>
    </row>
    <row r="70" spans="1:13" x14ac:dyDescent="0.35">
      <c r="A70" s="26" t="s">
        <v>76</v>
      </c>
      <c r="B70" s="27">
        <v>1.6107020000000001</v>
      </c>
      <c r="C70" s="22" t="e">
        <f>VLOOKUP(A70,#REF!,6,0)</f>
        <v>#REF!</v>
      </c>
      <c r="D70" s="25" t="e">
        <f t="shared" si="4"/>
        <v>#REF!</v>
      </c>
      <c r="E70" s="27">
        <v>0.116228</v>
      </c>
      <c r="F70" s="6"/>
      <c r="G70" s="7"/>
      <c r="H70" s="26" t="s">
        <v>92</v>
      </c>
      <c r="I70" s="27">
        <v>9.904261</v>
      </c>
      <c r="J70" s="22" t="e">
        <f>VLOOKUP(H70,#REF!,6,0)</f>
        <v>#REF!</v>
      </c>
      <c r="K70" s="25" t="e">
        <f t="shared" si="5"/>
        <v>#REF!</v>
      </c>
      <c r="L70" s="6"/>
      <c r="M70" s="27">
        <v>-0.16120499999999999</v>
      </c>
    </row>
    <row r="71" spans="1:13" x14ac:dyDescent="0.35">
      <c r="A71" s="26" t="s">
        <v>77</v>
      </c>
      <c r="B71" s="27">
        <v>2.705673</v>
      </c>
      <c r="C71" s="22" t="e">
        <f>VLOOKUP(A71,#REF!,6,0)</f>
        <v>#REF!</v>
      </c>
      <c r="D71" s="25" t="e">
        <f t="shared" si="4"/>
        <v>#REF!</v>
      </c>
      <c r="E71" s="27">
        <v>9.9350999999999995E-2</v>
      </c>
      <c r="F71" s="6"/>
      <c r="G71" s="7"/>
      <c r="H71" s="26" t="s">
        <v>93</v>
      </c>
      <c r="I71" s="27">
        <v>2.1420620000000001</v>
      </c>
      <c r="J71" s="22" t="e">
        <f>VLOOKUP(H71,#REF!,6,0)</f>
        <v>#REF!</v>
      </c>
      <c r="K71" s="25" t="e">
        <f t="shared" si="5"/>
        <v>#REF!</v>
      </c>
      <c r="L71" s="6"/>
      <c r="M71" s="27">
        <v>-9.4993999999999995E-2</v>
      </c>
    </row>
    <row r="72" spans="1:13" x14ac:dyDescent="0.35">
      <c r="A72" s="26" t="s">
        <v>78</v>
      </c>
      <c r="B72" s="27">
        <v>2.1753269999999998</v>
      </c>
      <c r="C72" s="22" t="e">
        <f>VLOOKUP(A72,#REF!,6,0)</f>
        <v>#REF!</v>
      </c>
      <c r="D72" s="25" t="e">
        <f t="shared" si="4"/>
        <v>#REF!</v>
      </c>
      <c r="E72" s="27">
        <v>6.4252000000000004E-2</v>
      </c>
      <c r="F72" s="6"/>
      <c r="G72" s="7"/>
      <c r="H72" s="26" t="s">
        <v>94</v>
      </c>
      <c r="I72" s="27">
        <v>0.79044400000000004</v>
      </c>
      <c r="J72" s="22" t="e">
        <f>VLOOKUP(H72,#REF!,6,0)</f>
        <v>#REF!</v>
      </c>
      <c r="K72" s="25" t="e">
        <f t="shared" si="5"/>
        <v>#REF!</v>
      </c>
      <c r="L72" s="6"/>
      <c r="M72" s="27">
        <v>-8.4233000000000002E-2</v>
      </c>
    </row>
    <row r="73" spans="1:13" x14ac:dyDescent="0.35">
      <c r="A73" s="26" t="s">
        <v>79</v>
      </c>
      <c r="B73" s="27">
        <v>1.6831179999999999</v>
      </c>
      <c r="C73" s="22" t="e">
        <f>VLOOKUP(A73,#REF!,6,0)</f>
        <v>#REF!</v>
      </c>
      <c r="D73" s="25" t="e">
        <f t="shared" si="4"/>
        <v>#REF!</v>
      </c>
      <c r="E73" s="27">
        <v>5.9660999999999999E-2</v>
      </c>
      <c r="F73" s="6"/>
      <c r="G73" s="7"/>
      <c r="H73" s="26" t="s">
        <v>95</v>
      </c>
      <c r="I73" s="27">
        <v>8.2836590000000001</v>
      </c>
      <c r="J73" s="22" t="e">
        <f>VLOOKUP(H73,#REF!,6,0)</f>
        <v>#REF!</v>
      </c>
      <c r="K73" s="25" t="e">
        <f t="shared" si="5"/>
        <v>#REF!</v>
      </c>
      <c r="L73" s="6"/>
      <c r="M73" s="27">
        <v>-7.4732000000000007E-2</v>
      </c>
    </row>
    <row r="74" spans="1:13" x14ac:dyDescent="0.35">
      <c r="A74" s="26" t="s">
        <v>80</v>
      </c>
      <c r="B74" s="27">
        <v>0.58142700000000003</v>
      </c>
      <c r="C74" s="22" t="e">
        <f>VLOOKUP(A74,#REF!,6,0)</f>
        <v>#REF!</v>
      </c>
      <c r="D74" s="25" t="e">
        <f t="shared" si="4"/>
        <v>#REF!</v>
      </c>
      <c r="E74" s="27">
        <v>5.6315999999999998E-2</v>
      </c>
      <c r="F74" s="6"/>
      <c r="G74" s="7"/>
      <c r="H74" s="26" t="s">
        <v>96</v>
      </c>
      <c r="I74" s="27">
        <v>2.9447290000000002</v>
      </c>
      <c r="J74" s="22" t="e">
        <f>VLOOKUP(H74,#REF!,6,0)</f>
        <v>#REF!</v>
      </c>
      <c r="K74" s="25" t="e">
        <f t="shared" si="5"/>
        <v>#REF!</v>
      </c>
      <c r="L74" s="6"/>
      <c r="M74" s="27">
        <v>-5.8370999999999999E-2</v>
      </c>
    </row>
    <row r="75" spans="1:13" x14ac:dyDescent="0.35">
      <c r="A75" s="26" t="s">
        <v>81</v>
      </c>
      <c r="B75" s="27">
        <v>0.38855800000000001</v>
      </c>
      <c r="C75" s="22" t="e">
        <f>VLOOKUP(A75,#REF!,6,0)</f>
        <v>#REF!</v>
      </c>
      <c r="D75" s="25" t="e">
        <f t="shared" si="4"/>
        <v>#REF!</v>
      </c>
      <c r="E75" s="27">
        <v>5.1471999999999997E-2</v>
      </c>
      <c r="F75" s="6"/>
      <c r="G75" s="7"/>
      <c r="H75" s="26" t="s">
        <v>97</v>
      </c>
      <c r="I75" s="27">
        <v>3.854781</v>
      </c>
      <c r="J75" s="22" t="e">
        <f>VLOOKUP(H75,#REF!,6,0)</f>
        <v>#REF!</v>
      </c>
      <c r="K75" s="25" t="e">
        <f t="shared" si="5"/>
        <v>#REF!</v>
      </c>
      <c r="L75" s="6"/>
      <c r="M75" s="27">
        <v>-5.0484000000000001E-2</v>
      </c>
    </row>
    <row r="76" spans="1:13" x14ac:dyDescent="0.35">
      <c r="A76" s="26" t="s">
        <v>82</v>
      </c>
      <c r="B76" s="27">
        <v>1.806435</v>
      </c>
      <c r="C76" s="22" t="e">
        <f>VLOOKUP(A76,#REF!,6,0)</f>
        <v>#REF!</v>
      </c>
      <c r="D76" s="25" t="e">
        <f t="shared" si="4"/>
        <v>#REF!</v>
      </c>
      <c r="E76" s="27">
        <v>3.7393999999999997E-2</v>
      </c>
      <c r="F76" s="12"/>
      <c r="H76" s="26" t="s">
        <v>98</v>
      </c>
      <c r="I76" s="27">
        <v>2.5094089999999998</v>
      </c>
      <c r="J76" s="22" t="e">
        <f>VLOOKUP(H76,#REF!,6,0)</f>
        <v>#REF!</v>
      </c>
      <c r="K76" s="25" t="e">
        <f t="shared" si="5"/>
        <v>#REF!</v>
      </c>
      <c r="L76" s="12"/>
      <c r="M76" s="27">
        <v>-3.0207999999999999E-2</v>
      </c>
    </row>
    <row r="79" spans="1:13" x14ac:dyDescent="0.35">
      <c r="A79" s="10" t="s">
        <v>48</v>
      </c>
    </row>
    <row r="80" spans="1:13" x14ac:dyDescent="0.35">
      <c r="A80" s="1" t="s">
        <v>49</v>
      </c>
      <c r="B80" s="1" t="s">
        <v>50</v>
      </c>
      <c r="C80" s="1" t="s">
        <v>51</v>
      </c>
    </row>
    <row r="81" spans="1:3" x14ac:dyDescent="0.35">
      <c r="A81" s="18">
        <f>D3</f>
        <v>96294.990600000005</v>
      </c>
      <c r="B81" s="12">
        <v>4616</v>
      </c>
      <c r="C81" s="28">
        <f>B81/A81</f>
        <v>4.793603458745236E-2</v>
      </c>
    </row>
    <row r="83" spans="1:3" x14ac:dyDescent="0.35">
      <c r="A83" s="1" t="s">
        <v>52</v>
      </c>
      <c r="B83" s="1" t="s">
        <v>50</v>
      </c>
      <c r="C83" s="1" t="s">
        <v>51</v>
      </c>
    </row>
    <row r="84" spans="1:3" x14ac:dyDescent="0.35">
      <c r="A84" s="12">
        <v>464188</v>
      </c>
      <c r="B84" s="12">
        <v>7571</v>
      </c>
      <c r="C84" s="28">
        <f>B84/A84</f>
        <v>1.6310201900953922E-2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5A6F-DE18-4678-8777-A77EEBA4664E}">
  <dimension ref="A1:M84"/>
  <sheetViews>
    <sheetView showGridLines="0" tabSelected="1" topLeftCell="A37" zoomScale="81" workbookViewId="0">
      <selection activeCell="G27" sqref="G27"/>
    </sheetView>
  </sheetViews>
  <sheetFormatPr defaultRowHeight="14.5" x14ac:dyDescent="0.35"/>
  <cols>
    <col min="1" max="1" width="30.54296875" bestFit="1" customWidth="1"/>
    <col min="2" max="2" width="24" customWidth="1"/>
    <col min="3" max="3" width="16" bestFit="1" customWidth="1"/>
    <col min="4" max="4" width="13.7265625" customWidth="1"/>
    <col min="5" max="5" width="13.1796875" customWidth="1"/>
    <col min="6" max="6" width="22.1796875" bestFit="1" customWidth="1"/>
    <col min="7" max="7" width="16" customWidth="1"/>
    <col min="8" max="8" width="38.453125" bestFit="1" customWidth="1"/>
    <col min="9" max="9" width="10.81640625" customWidth="1"/>
    <col min="10" max="10" width="12.1796875" customWidth="1"/>
    <col min="11" max="11" width="12.7265625" customWidth="1"/>
    <col min="13" max="13" width="11.54296875" customWidth="1"/>
  </cols>
  <sheetData>
    <row r="1" spans="1:9" x14ac:dyDescent="0.35">
      <c r="A1" s="8" t="s">
        <v>0</v>
      </c>
      <c r="B1" s="9">
        <v>46053</v>
      </c>
    </row>
    <row r="3" spans="1:9" x14ac:dyDescent="0.35">
      <c r="A3" s="17" t="s">
        <v>1</v>
      </c>
      <c r="B3" s="17" t="s">
        <v>57</v>
      </c>
      <c r="C3" s="12" t="s">
        <v>100</v>
      </c>
      <c r="D3" s="18">
        <v>97451.563099999999</v>
      </c>
      <c r="E3" s="12" t="s">
        <v>53</v>
      </c>
      <c r="F3" s="24"/>
      <c r="G3" s="12" t="s">
        <v>56</v>
      </c>
      <c r="H3" s="1" t="s">
        <v>88</v>
      </c>
    </row>
    <row r="5" spans="1:9" x14ac:dyDescent="0.35">
      <c r="A5" s="10" t="s">
        <v>2</v>
      </c>
    </row>
    <row r="6" spans="1:9" ht="29" x14ac:dyDescent="0.35">
      <c r="A6" s="11" t="s">
        <v>3</v>
      </c>
      <c r="B6" s="32" t="s">
        <v>2</v>
      </c>
      <c r="C6" s="32" t="s">
        <v>8</v>
      </c>
      <c r="D6" s="32" t="s">
        <v>9</v>
      </c>
      <c r="E6" s="32" t="s">
        <v>10</v>
      </c>
      <c r="F6" s="32" t="s">
        <v>11</v>
      </c>
      <c r="G6" s="32" t="s">
        <v>12</v>
      </c>
      <c r="H6" s="32" t="s">
        <v>13</v>
      </c>
      <c r="I6" s="32" t="s">
        <v>59</v>
      </c>
    </row>
    <row r="7" spans="1:9" ht="29" x14ac:dyDescent="0.35">
      <c r="A7" s="30" t="s">
        <v>99</v>
      </c>
      <c r="B7" s="33">
        <v>22.932860000000002</v>
      </c>
      <c r="C7" s="34">
        <v>12.392423000000001</v>
      </c>
      <c r="D7" s="23">
        <f>B7-C7</f>
        <v>10.540437000000001</v>
      </c>
      <c r="E7" s="34">
        <v>14.651032000000001</v>
      </c>
      <c r="F7" s="23">
        <f>B7-E7</f>
        <v>8.2818280000000009</v>
      </c>
      <c r="G7" s="23">
        <v>15.075674708333336</v>
      </c>
      <c r="H7" s="35">
        <v>1</v>
      </c>
      <c r="I7" s="35">
        <v>24</v>
      </c>
    </row>
    <row r="8" spans="1:9" x14ac:dyDescent="0.35">
      <c r="A8" s="31" t="s">
        <v>4</v>
      </c>
      <c r="B8" s="33">
        <v>10.762212</v>
      </c>
      <c r="C8" s="34">
        <v>7.6587829999999997</v>
      </c>
      <c r="D8" s="23">
        <f>B8-C8</f>
        <v>3.1034290000000002</v>
      </c>
      <c r="E8" s="34">
        <v>8.1536380000000008</v>
      </c>
      <c r="F8" s="23">
        <f>B8-E8</f>
        <v>2.6085739999999991</v>
      </c>
      <c r="G8" s="23">
        <v>7.5803339999999997</v>
      </c>
      <c r="H8" s="35">
        <v>8</v>
      </c>
      <c r="I8" s="35">
        <v>39</v>
      </c>
    </row>
    <row r="9" spans="1:9" x14ac:dyDescent="0.35">
      <c r="A9" s="31" t="s">
        <v>5</v>
      </c>
      <c r="B9" s="33">
        <v>3.846714</v>
      </c>
      <c r="C9" s="23">
        <v>2.2298520000000002</v>
      </c>
      <c r="D9" s="23">
        <f t="shared" ref="D9:D11" si="0">B9-C9</f>
        <v>1.6168619999999998</v>
      </c>
      <c r="E9" s="23">
        <v>0.71808899999999998</v>
      </c>
      <c r="F9" s="23">
        <f t="shared" ref="F9:F11" si="1">B9-E9</f>
        <v>3.128625</v>
      </c>
      <c r="G9" s="23">
        <v>-0.64424947499999996</v>
      </c>
      <c r="H9" s="35">
        <v>2</v>
      </c>
      <c r="I9" s="35">
        <v>40</v>
      </c>
    </row>
    <row r="10" spans="1:9" x14ac:dyDescent="0.35">
      <c r="A10" s="31" t="s">
        <v>6</v>
      </c>
      <c r="B10" s="33">
        <v>-1.1563000000000001</v>
      </c>
      <c r="C10" s="23">
        <v>-1.5607200000000001</v>
      </c>
      <c r="D10" s="23">
        <f t="shared" si="0"/>
        <v>0.40442</v>
      </c>
      <c r="E10" s="23">
        <v>-2.6608610000000001</v>
      </c>
      <c r="F10" s="23">
        <f t="shared" si="1"/>
        <v>1.504561</v>
      </c>
      <c r="G10" s="23">
        <v>-3.4087728780487803</v>
      </c>
      <c r="H10" s="35">
        <v>6</v>
      </c>
      <c r="I10" s="35">
        <v>41</v>
      </c>
    </row>
    <row r="11" spans="1:9" x14ac:dyDescent="0.35">
      <c r="A11" s="31" t="s">
        <v>7</v>
      </c>
      <c r="B11" s="33">
        <v>-1.3240000000000001</v>
      </c>
      <c r="C11" s="23">
        <v>-3.0959099999999999</v>
      </c>
      <c r="D11" s="23">
        <f t="shared" si="0"/>
        <v>1.7719099999999999</v>
      </c>
      <c r="E11" s="23">
        <v>-3.3179699999999999</v>
      </c>
      <c r="F11" s="23">
        <f t="shared" si="1"/>
        <v>1.9939699999999998</v>
      </c>
      <c r="G11" s="23">
        <v>-3.1789256097560967</v>
      </c>
      <c r="H11" s="35">
        <v>3</v>
      </c>
      <c r="I11" s="35">
        <v>41</v>
      </c>
    </row>
    <row r="13" spans="1:9" x14ac:dyDescent="0.35">
      <c r="A13" s="10" t="s">
        <v>54</v>
      </c>
    </row>
    <row r="14" spans="1:9" x14ac:dyDescent="0.35">
      <c r="A14" s="14" t="s">
        <v>55</v>
      </c>
      <c r="B14" s="12" t="s">
        <v>31</v>
      </c>
    </row>
    <row r="15" spans="1:9" x14ac:dyDescent="0.35">
      <c r="A15" s="13" t="s">
        <v>26</v>
      </c>
      <c r="B15" s="19">
        <v>70.266199999999998</v>
      </c>
    </row>
    <row r="16" spans="1:9" x14ac:dyDescent="0.35">
      <c r="A16" s="13" t="s">
        <v>27</v>
      </c>
      <c r="B16" s="19">
        <v>4.2521000000000004</v>
      </c>
    </row>
    <row r="17" spans="1:7" x14ac:dyDescent="0.35">
      <c r="A17" s="13" t="s">
        <v>28</v>
      </c>
      <c r="B17" s="19">
        <v>7.6043000000000003</v>
      </c>
    </row>
    <row r="18" spans="1:7" x14ac:dyDescent="0.35">
      <c r="A18" s="13" t="s">
        <v>29</v>
      </c>
      <c r="B18" s="19">
        <f>17.8774-B19</f>
        <v>2.8492000000000015</v>
      </c>
    </row>
    <row r="19" spans="1:7" x14ac:dyDescent="0.35">
      <c r="A19" s="13" t="s">
        <v>30</v>
      </c>
      <c r="B19" s="19">
        <v>15.0282</v>
      </c>
    </row>
    <row r="20" spans="1:7" x14ac:dyDescent="0.35">
      <c r="A20" s="4"/>
    </row>
    <row r="21" spans="1:7" x14ac:dyDescent="0.35">
      <c r="A21" s="3"/>
      <c r="B21" s="9">
        <f>B1</f>
        <v>46053</v>
      </c>
    </row>
    <row r="22" spans="1:7" x14ac:dyDescent="0.35">
      <c r="A22" s="3" t="s">
        <v>32</v>
      </c>
      <c r="B22" s="12">
        <v>52</v>
      </c>
    </row>
    <row r="23" spans="1:7" x14ac:dyDescent="0.35">
      <c r="A23" s="4"/>
    </row>
    <row r="25" spans="1:7" x14ac:dyDescent="0.35">
      <c r="A25" s="10" t="s">
        <v>18</v>
      </c>
      <c r="B25" s="15"/>
    </row>
    <row r="26" spans="1:7" x14ac:dyDescent="0.35">
      <c r="A26" s="12" t="s">
        <v>14</v>
      </c>
      <c r="B26" s="12" t="s">
        <v>15</v>
      </c>
      <c r="C26" s="12" t="s">
        <v>16</v>
      </c>
      <c r="D26" s="12"/>
      <c r="E26" s="12" t="s">
        <v>17</v>
      </c>
      <c r="F26" s="12" t="s">
        <v>15</v>
      </c>
      <c r="G26" s="12" t="s">
        <v>16</v>
      </c>
    </row>
    <row r="27" spans="1:7" ht="58" x14ac:dyDescent="0.35">
      <c r="A27" s="35" t="s">
        <v>62</v>
      </c>
      <c r="B27" s="35" t="s">
        <v>62</v>
      </c>
      <c r="C27" s="35" t="s">
        <v>62</v>
      </c>
      <c r="D27" s="1"/>
      <c r="E27" s="20" t="s">
        <v>110</v>
      </c>
      <c r="F27" s="39">
        <v>6.1581915767900799E-2</v>
      </c>
      <c r="G27" s="6" t="s">
        <v>111</v>
      </c>
    </row>
    <row r="29" spans="1:7" x14ac:dyDescent="0.35">
      <c r="A29" s="15" t="s">
        <v>19</v>
      </c>
      <c r="B29" s="15"/>
    </row>
    <row r="30" spans="1:7" x14ac:dyDescent="0.35">
      <c r="A30" s="1"/>
      <c r="B30" s="9">
        <f>B1</f>
        <v>46053</v>
      </c>
    </row>
    <row r="31" spans="1:7" x14ac:dyDescent="0.35">
      <c r="A31" s="1" t="s">
        <v>20</v>
      </c>
      <c r="B31" s="12" t="s">
        <v>62</v>
      </c>
    </row>
    <row r="32" spans="1:7" x14ac:dyDescent="0.35">
      <c r="B32" s="16"/>
    </row>
    <row r="33" spans="1:4" x14ac:dyDescent="0.35">
      <c r="A33" s="1"/>
      <c r="B33" s="9">
        <f>B1</f>
        <v>46053</v>
      </c>
    </row>
    <row r="34" spans="1:4" x14ac:dyDescent="0.35">
      <c r="A34" s="1" t="s">
        <v>21</v>
      </c>
      <c r="B34" s="28"/>
    </row>
    <row r="35" spans="1:4" x14ac:dyDescent="0.35">
      <c r="A35" s="1" t="s">
        <v>22</v>
      </c>
      <c r="B35" s="28"/>
    </row>
    <row r="36" spans="1:4" x14ac:dyDescent="0.35">
      <c r="A36" s="1" t="s">
        <v>23</v>
      </c>
      <c r="B36" s="28">
        <f>B34-B35</f>
        <v>0</v>
      </c>
    </row>
    <row r="37" spans="1:4" x14ac:dyDescent="0.35">
      <c r="B37" s="16"/>
    </row>
    <row r="38" spans="1:4" x14ac:dyDescent="0.35">
      <c r="A38" s="1"/>
      <c r="B38" s="9">
        <f>B1</f>
        <v>46053</v>
      </c>
    </row>
    <row r="39" spans="1:4" x14ac:dyDescent="0.35">
      <c r="A39" s="1" t="s">
        <v>24</v>
      </c>
      <c r="B39" s="19">
        <v>55.491317288586522</v>
      </c>
    </row>
    <row r="40" spans="1:4" x14ac:dyDescent="0.35">
      <c r="B40" s="16"/>
    </row>
    <row r="41" spans="1:4" x14ac:dyDescent="0.35">
      <c r="A41" s="1"/>
      <c r="B41" s="9"/>
    </row>
    <row r="42" spans="1:4" x14ac:dyDescent="0.35">
      <c r="A42" s="1" t="s">
        <v>47</v>
      </c>
      <c r="B42" s="18">
        <v>2357.6972234138229</v>
      </c>
    </row>
    <row r="44" spans="1:4" x14ac:dyDescent="0.35">
      <c r="A44" t="s">
        <v>33</v>
      </c>
    </row>
    <row r="45" spans="1:4" ht="29" x14ac:dyDescent="0.35">
      <c r="A45" s="5" t="s">
        <v>34</v>
      </c>
      <c r="B45" s="5" t="s">
        <v>35</v>
      </c>
      <c r="C45" s="2" t="s">
        <v>36</v>
      </c>
      <c r="D45" s="5" t="s">
        <v>37</v>
      </c>
    </row>
    <row r="46" spans="1:4" x14ac:dyDescent="0.35">
      <c r="A46" s="1" t="s">
        <v>67</v>
      </c>
      <c r="B46" s="19"/>
      <c r="C46" s="22">
        <v>8.1552897567215936</v>
      </c>
      <c r="D46" s="23">
        <v>8.1552897567215936</v>
      </c>
    </row>
    <row r="47" spans="1:4" x14ac:dyDescent="0.35">
      <c r="A47" s="1" t="s">
        <v>63</v>
      </c>
      <c r="B47" s="19">
        <v>7.8191152174551402</v>
      </c>
      <c r="C47" s="22">
        <v>12.303927842150172</v>
      </c>
      <c r="D47" s="23">
        <v>4.4848126246950315</v>
      </c>
    </row>
    <row r="48" spans="1:4" x14ac:dyDescent="0.35">
      <c r="A48" s="1" t="s">
        <v>64</v>
      </c>
      <c r="B48" s="19">
        <v>7.5936801469323996</v>
      </c>
      <c r="C48" s="22">
        <v>3.3996509081370125</v>
      </c>
      <c r="D48" s="23">
        <v>4.1940292387953875</v>
      </c>
    </row>
    <row r="49" spans="1:12" x14ac:dyDescent="0.35">
      <c r="A49" s="1" t="s">
        <v>65</v>
      </c>
      <c r="B49" s="19">
        <v>4.10152477071966</v>
      </c>
      <c r="C49" s="22">
        <v>0.77653926187171429</v>
      </c>
      <c r="D49" s="23">
        <v>3.3249855088479459</v>
      </c>
    </row>
    <row r="50" spans="1:12" x14ac:dyDescent="0.35">
      <c r="A50" s="1" t="s">
        <v>70</v>
      </c>
      <c r="B50" s="19">
        <v>1.7969768203748799</v>
      </c>
      <c r="C50" s="22">
        <v>4.9755038890968244</v>
      </c>
      <c r="D50" s="23">
        <v>3.1785270687219445</v>
      </c>
    </row>
    <row r="51" spans="1:12" x14ac:dyDescent="0.35">
      <c r="A51" s="1" t="s">
        <v>69</v>
      </c>
      <c r="B51" s="19">
        <v>0.953011188796417</v>
      </c>
      <c r="C51" s="22">
        <v>3.9973398171588506</v>
      </c>
      <c r="D51" s="23">
        <v>3.0443286283624333</v>
      </c>
    </row>
    <row r="52" spans="1:12" x14ac:dyDescent="0.35">
      <c r="A52" s="1" t="s">
        <v>68</v>
      </c>
      <c r="B52" s="19"/>
      <c r="C52" s="22">
        <v>2.6872487808598882</v>
      </c>
      <c r="D52" s="23">
        <v>2.6872487808598882</v>
      </c>
    </row>
    <row r="53" spans="1:12" x14ac:dyDescent="0.35">
      <c r="A53" s="1" t="s">
        <v>71</v>
      </c>
      <c r="B53" s="19"/>
      <c r="C53" s="22">
        <v>2.6517492356104477</v>
      </c>
      <c r="D53" s="23">
        <v>2.6517492356104477</v>
      </c>
    </row>
    <row r="54" spans="1:12" x14ac:dyDescent="0.35">
      <c r="A54" s="1" t="s">
        <v>72</v>
      </c>
      <c r="B54" s="19">
        <v>2.2222014004822102</v>
      </c>
      <c r="C54" s="22">
        <v>4.748328064236321</v>
      </c>
      <c r="D54" s="23">
        <v>2.5261266637541109</v>
      </c>
    </row>
    <row r="55" spans="1:12" x14ac:dyDescent="0.35">
      <c r="A55" s="1" t="s">
        <v>109</v>
      </c>
      <c r="B55" s="19">
        <v>0.48083887532841402</v>
      </c>
      <c r="C55" s="22">
        <v>2.7612331383822823</v>
      </c>
      <c r="D55" s="23">
        <v>2.2803942630538683</v>
      </c>
    </row>
    <row r="58" spans="1:12" x14ac:dyDescent="0.35">
      <c r="A58" s="10" t="s">
        <v>25</v>
      </c>
    </row>
    <row r="59" spans="1:12" x14ac:dyDescent="0.35">
      <c r="A59" t="s">
        <v>38</v>
      </c>
    </row>
    <row r="60" spans="1:12" ht="29" x14ac:dyDescent="0.35">
      <c r="A60" s="6" t="s">
        <v>39</v>
      </c>
      <c r="B60" s="37" t="s">
        <v>40</v>
      </c>
      <c r="C60" s="37" t="s">
        <v>36</v>
      </c>
      <c r="D60" s="37" t="s">
        <v>41</v>
      </c>
      <c r="E60" s="37" t="s">
        <v>42</v>
      </c>
      <c r="H60" s="6" t="s">
        <v>43</v>
      </c>
      <c r="I60" s="6" t="s">
        <v>40</v>
      </c>
      <c r="J60" s="6" t="s">
        <v>36</v>
      </c>
      <c r="K60" s="6" t="s">
        <v>41</v>
      </c>
      <c r="L60" s="6" t="s">
        <v>42</v>
      </c>
    </row>
    <row r="61" spans="1:12" x14ac:dyDescent="0.35">
      <c r="A61" s="36" t="s">
        <v>83</v>
      </c>
      <c r="B61" s="27">
        <v>6.0501329999999998</v>
      </c>
      <c r="C61" s="27">
        <f>VLOOKUP(A61,[1]Highlights!$A$10:$E$20,5,0)</f>
        <v>8.2813929999999996</v>
      </c>
      <c r="D61" s="25">
        <f>B61-C61</f>
        <v>-2.2312599999999998</v>
      </c>
      <c r="E61" s="27">
        <v>0.27374799999999999</v>
      </c>
      <c r="H61" s="36" t="s">
        <v>61</v>
      </c>
      <c r="I61" s="29">
        <v>17.531137000000001</v>
      </c>
      <c r="J61" s="27">
        <f>VLOOKUP(H61,[1]Highlights!$A$10:$E$20,5,0)</f>
        <v>11.530913999999999</v>
      </c>
      <c r="K61" s="25">
        <f>I61-J61</f>
        <v>6.0002230000000019</v>
      </c>
      <c r="L61" s="29">
        <v>-1.033679</v>
      </c>
    </row>
    <row r="62" spans="1:12" x14ac:dyDescent="0.35">
      <c r="A62" s="36" t="s">
        <v>86</v>
      </c>
      <c r="B62" s="27">
        <v>44.875962000000001</v>
      </c>
      <c r="C62" s="27">
        <f>VLOOKUP(A62,[1]Highlights!$A$10:$E$20,5,0)</f>
        <v>31.167469000000001</v>
      </c>
      <c r="D62" s="25">
        <f t="shared" ref="D62:D63" si="2">B62-C62</f>
        <v>13.708493000000001</v>
      </c>
      <c r="E62" s="27">
        <v>0.22465499999999999</v>
      </c>
      <c r="H62" s="36" t="s">
        <v>85</v>
      </c>
      <c r="I62" s="29">
        <v>8.5955530000000007</v>
      </c>
      <c r="J62" s="27">
        <f>VLOOKUP(H62,[1]Highlights!$A$10:$E$20,5,0)</f>
        <v>6.3099970000000001</v>
      </c>
      <c r="K62" s="25">
        <f t="shared" ref="K62:K63" si="3">I62-J62</f>
        <v>2.2855560000000006</v>
      </c>
      <c r="L62" s="29">
        <v>-0.76361500000000004</v>
      </c>
    </row>
    <row r="63" spans="1:12" x14ac:dyDescent="0.35">
      <c r="A63" s="36" t="s">
        <v>101</v>
      </c>
      <c r="B63" s="27">
        <v>1.581575</v>
      </c>
      <c r="C63" s="27">
        <f>VLOOKUP(A63,[1]Highlights!$A$10:$E$20,5,0)</f>
        <v>7.7905819999999997</v>
      </c>
      <c r="D63" s="25">
        <f t="shared" si="2"/>
        <v>-6.2090069999999997</v>
      </c>
      <c r="E63" s="27">
        <v>0.18893299999999999</v>
      </c>
      <c r="H63" s="36" t="s">
        <v>87</v>
      </c>
      <c r="I63" s="29">
        <v>5.4836749999999999</v>
      </c>
      <c r="J63" s="27">
        <f>VLOOKUP(H63,[1]Highlights!$A$10:$E$20,5,0)</f>
        <v>10.593458</v>
      </c>
      <c r="K63" s="25">
        <f t="shared" si="3"/>
        <v>-5.1097830000000002</v>
      </c>
      <c r="L63" s="29">
        <v>-0.25384699999999999</v>
      </c>
    </row>
    <row r="64" spans="1:12" x14ac:dyDescent="0.35">
      <c r="A64" s="6"/>
      <c r="B64" s="38"/>
      <c r="C64" s="38"/>
      <c r="D64" s="38"/>
      <c r="E64" s="38"/>
      <c r="H64" s="6"/>
      <c r="I64" s="6"/>
      <c r="J64" s="6"/>
      <c r="K64" s="6"/>
      <c r="L64" s="6"/>
    </row>
    <row r="66" spans="1:13" ht="43.5" x14ac:dyDescent="0.35">
      <c r="A66" s="6" t="s">
        <v>45</v>
      </c>
      <c r="B66" s="6" t="s">
        <v>40</v>
      </c>
      <c r="C66" s="6" t="s">
        <v>36</v>
      </c>
      <c r="D66" s="6" t="s">
        <v>41</v>
      </c>
      <c r="E66" s="6" t="s">
        <v>42</v>
      </c>
      <c r="F66" s="6" t="s">
        <v>46</v>
      </c>
      <c r="G66" s="7"/>
      <c r="H66" s="6" t="s">
        <v>44</v>
      </c>
      <c r="I66" s="6" t="s">
        <v>40</v>
      </c>
      <c r="J66" s="6" t="s">
        <v>36</v>
      </c>
      <c r="K66" s="6" t="s">
        <v>41</v>
      </c>
      <c r="L66" s="6" t="s">
        <v>42</v>
      </c>
      <c r="M66" s="6" t="s">
        <v>46</v>
      </c>
    </row>
    <row r="67" spans="1:13" x14ac:dyDescent="0.35">
      <c r="A67" s="36" t="s">
        <v>95</v>
      </c>
      <c r="B67" s="27">
        <v>8.2001240000000006</v>
      </c>
      <c r="C67" s="22">
        <f>VLOOKUP(A67,[1]Attribution!$B$11:$G$1048576,6,0)</f>
        <v>1.81091</v>
      </c>
      <c r="D67" s="25">
        <f>B67-C67</f>
        <v>6.3892140000000008</v>
      </c>
      <c r="E67" s="27">
        <v>0.65635900000000003</v>
      </c>
      <c r="F67" s="6"/>
      <c r="G67" s="7"/>
      <c r="H67" s="36" t="s">
        <v>92</v>
      </c>
      <c r="I67" s="27">
        <v>9.7230650000000001</v>
      </c>
      <c r="J67" s="22">
        <f>VLOOKUP(H67,[1]Attribution!$B$11:$G$1048576,6,0)</f>
        <v>7.5470870000000003</v>
      </c>
      <c r="K67" s="25">
        <f>I67-J67</f>
        <v>2.1759779999999997</v>
      </c>
      <c r="L67" s="27">
        <v>-0.60769200000000001</v>
      </c>
      <c r="M67" s="27"/>
    </row>
    <row r="68" spans="1:13" x14ac:dyDescent="0.35">
      <c r="A68" s="36" t="s">
        <v>102</v>
      </c>
      <c r="B68" s="27">
        <v>5.1698849999999998</v>
      </c>
      <c r="C68" s="22">
        <f>VLOOKUP(A68,[1]Attribution!$B$11:$G$1048576,6,0)</f>
        <v>2.0284360000000001</v>
      </c>
      <c r="D68" s="25">
        <f t="shared" ref="D68:D76" si="4">B68-C68</f>
        <v>3.1414489999999997</v>
      </c>
      <c r="E68" s="27">
        <v>0.49977700000000003</v>
      </c>
      <c r="F68" s="6"/>
      <c r="G68" s="7"/>
      <c r="H68" s="36" t="s">
        <v>73</v>
      </c>
      <c r="I68" s="27">
        <v>3.9948199999999998</v>
      </c>
      <c r="J68" s="22">
        <f>VLOOKUP(H68,[1]Attribution!$B$11:$G$1048576,6,0)</f>
        <v>1.0904499999999999</v>
      </c>
      <c r="K68" s="25">
        <f t="shared" ref="K68:K76" si="5">I68-J68</f>
        <v>2.9043700000000001</v>
      </c>
      <c r="L68" s="27">
        <v>-0.50195400000000001</v>
      </c>
      <c r="M68" s="27"/>
    </row>
    <row r="69" spans="1:13" x14ac:dyDescent="0.35">
      <c r="A69" s="36" t="s">
        <v>103</v>
      </c>
      <c r="B69" s="27">
        <v>1.581575</v>
      </c>
      <c r="C69" s="22">
        <f>VLOOKUP(A69,[1]Attribution!$B$11:$G$1048576,6,0)</f>
        <v>0.46476200000000001</v>
      </c>
      <c r="D69" s="25">
        <f t="shared" si="4"/>
        <v>1.1168130000000001</v>
      </c>
      <c r="E69" s="27">
        <v>0.18893299999999999</v>
      </c>
      <c r="F69" s="6"/>
      <c r="G69" s="7"/>
      <c r="H69" s="36" t="s">
        <v>97</v>
      </c>
      <c r="I69" s="27">
        <v>3.7966280000000001</v>
      </c>
      <c r="J69" s="22">
        <f>VLOOKUP(H69,[1]Attribution!$B$11:$G$1048576,6,0)</f>
        <v>0.42325699999999999</v>
      </c>
      <c r="K69" s="25">
        <f t="shared" si="5"/>
        <v>3.3733710000000001</v>
      </c>
      <c r="L69" s="27">
        <v>-0.469773</v>
      </c>
      <c r="M69" s="27"/>
    </row>
    <row r="70" spans="1:13" x14ac:dyDescent="0.35">
      <c r="A70" s="36" t="s">
        <v>104</v>
      </c>
      <c r="B70" s="27">
        <v>3.4954170000000002</v>
      </c>
      <c r="C70" s="22">
        <f>VLOOKUP(A70,[1]Attribution!$B$11:$G$1048576,6,0)</f>
        <v>0.85255700000000001</v>
      </c>
      <c r="D70" s="25">
        <f t="shared" si="4"/>
        <v>2.6428600000000002</v>
      </c>
      <c r="E70" s="27">
        <v>0.18148500000000001</v>
      </c>
      <c r="F70" s="6"/>
      <c r="G70" s="7"/>
      <c r="H70" s="36" t="s">
        <v>74</v>
      </c>
      <c r="I70" s="27">
        <v>4.7922549999999999</v>
      </c>
      <c r="J70" s="22">
        <f>VLOOKUP(H70,[1]Attribution!$B$11:$G$1048576,6,0)</f>
        <v>1.611281</v>
      </c>
      <c r="K70" s="25">
        <f t="shared" si="5"/>
        <v>3.180974</v>
      </c>
      <c r="L70" s="27">
        <v>-0.350748</v>
      </c>
      <c r="M70" s="27"/>
    </row>
    <row r="71" spans="1:13" x14ac:dyDescent="0.35">
      <c r="A71" s="36" t="s">
        <v>76</v>
      </c>
      <c r="B71" s="27">
        <v>1.7233909999999999</v>
      </c>
      <c r="C71" s="22">
        <f>VLOOKUP(A71,[1]Attribution!$B$11:$G$1048576,6,0)</f>
        <v>0.74086799999999997</v>
      </c>
      <c r="D71" s="25">
        <f t="shared" si="4"/>
        <v>0.98252299999999992</v>
      </c>
      <c r="E71" s="27">
        <v>0.12489</v>
      </c>
      <c r="F71" s="6"/>
      <c r="G71" s="7"/>
      <c r="H71" s="36" t="s">
        <v>91</v>
      </c>
      <c r="I71" s="27">
        <v>1.854079</v>
      </c>
      <c r="J71" s="22">
        <f>VLOOKUP(H71,[1]Attribution!$B$11:$G$1048576,6,0)</f>
        <v>5.3047999999999998E-2</v>
      </c>
      <c r="K71" s="25">
        <f t="shared" si="5"/>
        <v>1.801031</v>
      </c>
      <c r="L71" s="27">
        <v>-0.19100400000000001</v>
      </c>
      <c r="M71" s="27"/>
    </row>
    <row r="72" spans="1:13" x14ac:dyDescent="0.35">
      <c r="A72" s="36" t="s">
        <v>89</v>
      </c>
      <c r="B72" s="27">
        <v>10.28139</v>
      </c>
      <c r="C72" s="22">
        <f>VLOOKUP(A72,[1]Attribution!$B$11:$G$1048576,6,0)</f>
        <v>4.7744419999999996</v>
      </c>
      <c r="D72" s="25">
        <f t="shared" si="4"/>
        <v>5.5069480000000004</v>
      </c>
      <c r="E72" s="27">
        <v>9.2638999999999999E-2</v>
      </c>
      <c r="F72" s="6"/>
      <c r="G72" s="7"/>
      <c r="H72" s="36" t="s">
        <v>106</v>
      </c>
      <c r="I72" s="27">
        <v>2.7707519999999999</v>
      </c>
      <c r="J72" s="22">
        <f>VLOOKUP(H72,[1]Attribution!$B$11:$G$1048576,6,0)</f>
        <v>2.9204469999999998</v>
      </c>
      <c r="K72" s="25">
        <f t="shared" si="5"/>
        <v>-0.14969499999999991</v>
      </c>
      <c r="L72" s="27">
        <v>-0.180146</v>
      </c>
      <c r="M72" s="27"/>
    </row>
    <row r="73" spans="1:13" x14ac:dyDescent="0.35">
      <c r="A73" s="36" t="s">
        <v>105</v>
      </c>
      <c r="B73" s="27">
        <v>1.9786509999999999</v>
      </c>
      <c r="C73" s="22">
        <f>VLOOKUP(A73,[1]Attribution!$B$11:$G$1048576,6,0)</f>
        <v>0.54469000000000001</v>
      </c>
      <c r="D73" s="25">
        <f t="shared" si="4"/>
        <v>1.433961</v>
      </c>
      <c r="E73" s="27">
        <v>8.2207000000000002E-2</v>
      </c>
      <c r="F73" s="6"/>
      <c r="G73" s="7"/>
      <c r="H73" s="36" t="s">
        <v>107</v>
      </c>
      <c r="I73" s="27">
        <v>0.61500100000000002</v>
      </c>
      <c r="J73" s="22">
        <f>VLOOKUP(H73,[1]Attribution!$B$11:$G$1048576,6,0)</f>
        <v>3.0270999999999999E-2</v>
      </c>
      <c r="K73" s="25">
        <f t="shared" si="5"/>
        <v>0.58472999999999997</v>
      </c>
      <c r="L73" s="27">
        <v>-0.16309999999999999</v>
      </c>
      <c r="M73" s="27"/>
    </row>
    <row r="74" spans="1:13" x14ac:dyDescent="0.35">
      <c r="A74" s="36" t="s">
        <v>78</v>
      </c>
      <c r="B74" s="27">
        <v>2.2353499999999999</v>
      </c>
      <c r="C74" s="22">
        <f>VLOOKUP(A74,[1]Attribution!$B$11:$G$1048576,6,0)</f>
        <v>0.51575000000000004</v>
      </c>
      <c r="D74" s="25">
        <f t="shared" si="4"/>
        <v>1.7195999999999998</v>
      </c>
      <c r="E74" s="27">
        <v>5.9740000000000001E-2</v>
      </c>
      <c r="F74" s="6"/>
      <c r="G74" s="7"/>
      <c r="H74" s="36" t="s">
        <v>90</v>
      </c>
      <c r="I74" s="27">
        <v>1.210499</v>
      </c>
      <c r="J74" s="22">
        <f>VLOOKUP(H74,[1]Attribution!$B$11:$G$1048576,6,0)</f>
        <v>0.56920800000000005</v>
      </c>
      <c r="K74" s="25">
        <f t="shared" si="5"/>
        <v>0.64129099999999994</v>
      </c>
      <c r="L74" s="27">
        <v>-0.110774</v>
      </c>
      <c r="M74" s="27"/>
    </row>
    <row r="75" spans="1:13" x14ac:dyDescent="0.35">
      <c r="A75" s="36" t="s">
        <v>80</v>
      </c>
      <c r="B75" s="27">
        <v>0.63643799999999995</v>
      </c>
      <c r="C75" s="22">
        <f>VLOOKUP(A75,[1]Attribution!$B$11:$G$1048576,6,0)</f>
        <v>0.63857200000000003</v>
      </c>
      <c r="D75" s="25">
        <f t="shared" si="4"/>
        <v>-2.1340000000000803E-3</v>
      </c>
      <c r="E75" s="27">
        <v>5.4477999999999999E-2</v>
      </c>
      <c r="F75" s="6"/>
      <c r="G75" s="7"/>
      <c r="H75" s="36" t="s">
        <v>98</v>
      </c>
      <c r="I75" s="27">
        <v>2.474126</v>
      </c>
      <c r="J75" s="22">
        <f>VLOOKUP(H75,[1]Attribution!$B$11:$G$1048576,6,0)</f>
        <v>0.163047</v>
      </c>
      <c r="K75" s="25">
        <f t="shared" si="5"/>
        <v>2.3110789999999999</v>
      </c>
      <c r="L75" s="27">
        <v>-0.109602</v>
      </c>
      <c r="M75" s="27"/>
    </row>
    <row r="76" spans="1:13" x14ac:dyDescent="0.35">
      <c r="A76" s="36" t="s">
        <v>81</v>
      </c>
      <c r="B76" s="27">
        <v>0.43943300000000002</v>
      </c>
      <c r="C76" s="22">
        <f>VLOOKUP(A76,[1]Attribution!$B$11:$G$1048576,6,0)</f>
        <v>0.25517899999999999</v>
      </c>
      <c r="D76" s="25">
        <f t="shared" si="4"/>
        <v>0.18425400000000003</v>
      </c>
      <c r="E76" s="27">
        <v>4.3305000000000003E-2</v>
      </c>
      <c r="F76" s="12"/>
      <c r="H76" s="36" t="s">
        <v>108</v>
      </c>
      <c r="I76" s="27">
        <v>0.98328899999999997</v>
      </c>
      <c r="J76" s="22">
        <f>VLOOKUP(H76,[1]Attribution!$B$11:$G$1048576,6,0)</f>
        <v>0.180283</v>
      </c>
      <c r="K76" s="25">
        <f t="shared" si="5"/>
        <v>0.803006</v>
      </c>
      <c r="L76" s="27">
        <v>-0.103202</v>
      </c>
      <c r="M76" s="27"/>
    </row>
    <row r="79" spans="1:13" x14ac:dyDescent="0.35">
      <c r="A79" s="10" t="s">
        <v>48</v>
      </c>
    </row>
    <row r="80" spans="1:13" x14ac:dyDescent="0.35">
      <c r="A80" s="1" t="s">
        <v>49</v>
      </c>
      <c r="B80" s="1" t="s">
        <v>50</v>
      </c>
      <c r="C80" s="1" t="s">
        <v>51</v>
      </c>
    </row>
    <row r="81" spans="1:3" x14ac:dyDescent="0.35">
      <c r="A81" s="18">
        <f>D3</f>
        <v>97451.563099999999</v>
      </c>
      <c r="B81" s="18">
        <v>4626.2691637999997</v>
      </c>
      <c r="C81" s="28">
        <f>B81/A81</f>
        <v>4.7472498302082132E-2</v>
      </c>
    </row>
    <row r="83" spans="1:3" x14ac:dyDescent="0.35">
      <c r="A83" s="1" t="s">
        <v>52</v>
      </c>
      <c r="B83" s="1" t="s">
        <v>50</v>
      </c>
      <c r="C83" s="1" t="s">
        <v>51</v>
      </c>
    </row>
    <row r="84" spans="1:3" x14ac:dyDescent="0.35">
      <c r="A84" s="40">
        <v>458798.59259999997</v>
      </c>
      <c r="B84" s="18">
        <v>7522.4166478999996</v>
      </c>
      <c r="C84" s="28">
        <f>B84/A84</f>
        <v>1.6395901751290593E-2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Dec'2025</vt:lpstr>
      <vt:lpstr>Jan'26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Mayank Jain</cp:lastModifiedBy>
  <dcterms:created xsi:type="dcterms:W3CDTF">2025-12-26T09:05:01Z</dcterms:created>
  <dcterms:modified xsi:type="dcterms:W3CDTF">2026-02-23T09:06:29Z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2026-01-16T05:57:03Z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7d2947de-3567-4db5-918e-b97773d5051b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